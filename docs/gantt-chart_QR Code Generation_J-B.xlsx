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C:\Users\their\Desktop\"/>
    </mc:Choice>
  </mc:AlternateContent>
  <xr:revisionPtr revIDLastSave="0" documentId="13_ncr:1_{49CC34D5-6BCB-4F3B-9B8F-E4D549B49081}" xr6:coauthVersionLast="47" xr6:coauthVersionMax="47" xr10:uidLastSave="{00000000-0000-0000-0000-000000000000}"/>
  <bookViews>
    <workbookView xWindow="0" yWindow="15" windowWidth="29040" windowHeight="16440" xr2:uid="{00000000-000D-0000-FFFF-FFFF00000000}"/>
  </bookViews>
  <sheets>
    <sheet name="GanttChart" sheetId="9" r:id="rId1"/>
    <sheet name="Help" sheetId="6" r:id="rId2"/>
    <sheet name="TermsOfUse" sheetId="11" r:id="rId3"/>
  </sheets>
  <definedNames>
    <definedName name="prevWBS" localSheetId="0">GanttChart!$A1048576</definedName>
    <definedName name="_xlnm.Print_Area" localSheetId="0">GanttChart!$A$1:$BN$42</definedName>
    <definedName name="_xlnm.Print_Titles" localSheetId="0">GanttChart!$4:$7</definedName>
    <definedName name="valuevx">42.314159</definedName>
    <definedName name="vertex42_copyright" hidden="1">"© 2006-2018 Vertex42 LLC"</definedName>
    <definedName name="vertex42_id" hidden="1">"gantt-chart_L2.xlsx"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31" i="9" l="1"/>
  <c r="I31" i="9" s="1"/>
  <c r="A31" i="9"/>
  <c r="F32" i="9"/>
  <c r="I32" i="9" s="1"/>
  <c r="A32" i="9"/>
  <c r="A33" i="9" s="1"/>
  <c r="F33" i="9"/>
  <c r="I33" i="9" s="1"/>
  <c r="F24" i="9"/>
  <c r="I24" i="9"/>
  <c r="F23" i="9"/>
  <c r="I23" i="9" s="1"/>
  <c r="F25" i="9"/>
  <c r="I25" i="9" s="1"/>
  <c r="F20" i="9"/>
  <c r="I20" i="9" s="1"/>
  <c r="F19" i="9"/>
  <c r="I19" i="9" s="1"/>
  <c r="F18" i="9"/>
  <c r="I18" i="9" s="1"/>
  <c r="F10" i="9"/>
  <c r="I10" i="9" s="1"/>
  <c r="F75" i="9"/>
  <c r="I75" i="9" s="1"/>
  <c r="F76" i="9"/>
  <c r="I76" i="9" s="1"/>
  <c r="F77" i="9"/>
  <c r="I77" i="9" s="1"/>
  <c r="F78" i="9"/>
  <c r="I78" i="9" s="1"/>
  <c r="F80" i="9"/>
  <c r="I80" i="9" s="1"/>
  <c r="F70" i="9"/>
  <c r="I70" i="9" s="1"/>
  <c r="F71" i="9"/>
  <c r="I71" i="9" s="1"/>
  <c r="F72" i="9"/>
  <c r="I72" i="9" s="1"/>
  <c r="F73" i="9"/>
  <c r="I73" i="9" s="1"/>
  <c r="F64" i="9"/>
  <c r="I64" i="9" s="1"/>
  <c r="F65" i="9"/>
  <c r="I65" i="9" s="1"/>
  <c r="F66" i="9"/>
  <c r="I66" i="9" s="1"/>
  <c r="F67" i="9"/>
  <c r="I67" i="9" s="1"/>
  <c r="F68" i="9"/>
  <c r="I68" i="9" s="1"/>
  <c r="F58" i="9"/>
  <c r="I58" i="9" s="1"/>
  <c r="F59" i="9"/>
  <c r="I59" i="9" s="1"/>
  <c r="F60" i="9"/>
  <c r="I60" i="9" s="1"/>
  <c r="F61" i="9"/>
  <c r="I61" i="9" s="1"/>
  <c r="F62" i="9"/>
  <c r="I62" i="9" s="1"/>
  <c r="F54" i="9"/>
  <c r="I54" i="9" s="1"/>
  <c r="F55" i="9"/>
  <c r="I55" i="9" s="1"/>
  <c r="F56" i="9"/>
  <c r="I56" i="9" s="1"/>
  <c r="F48" i="9"/>
  <c r="I48" i="9" s="1"/>
  <c r="F49" i="9"/>
  <c r="I49" i="9" s="1"/>
  <c r="F50" i="9"/>
  <c r="I50" i="9" s="1"/>
  <c r="F51" i="9"/>
  <c r="I51" i="9" s="1"/>
  <c r="F52" i="9"/>
  <c r="I52" i="9" s="1"/>
  <c r="F42" i="9"/>
  <c r="I42" i="9" s="1"/>
  <c r="F43" i="9"/>
  <c r="I43" i="9" s="1"/>
  <c r="F44" i="9"/>
  <c r="I44" i="9" s="1"/>
  <c r="F45" i="9"/>
  <c r="I45" i="9" s="1"/>
  <c r="F46" i="9"/>
  <c r="I46" i="9" s="1"/>
  <c r="F38" i="9" l="1"/>
  <c r="F9" i="9"/>
  <c r="I9" i="9" s="1"/>
  <c r="F22" i="9"/>
  <c r="F21" i="9"/>
  <c r="F17" i="9"/>
  <c r="F34" i="9"/>
  <c r="F30" i="9"/>
  <c r="F29" i="9"/>
  <c r="F28" i="9"/>
  <c r="F27" i="9"/>
  <c r="F36" i="9"/>
  <c r="F37" i="9" l="1"/>
  <c r="K6" i="9" l="1"/>
  <c r="K5" i="9" s="1"/>
  <c r="F12" i="9" l="1"/>
  <c r="F13" i="9" s="1"/>
  <c r="F14" i="9"/>
  <c r="K7" i="9"/>
  <c r="K4" i="9"/>
  <c r="A8" i="9"/>
  <c r="L6" i="9" l="1"/>
  <c r="I28" i="9" l="1"/>
  <c r="I27" i="9"/>
  <c r="I37" i="9"/>
  <c r="I17" i="9"/>
  <c r="I36" i="9"/>
  <c r="M6" i="9"/>
  <c r="I29" i="9" l="1"/>
  <c r="I21" i="9"/>
  <c r="N6" i="9"/>
  <c r="I38" i="9"/>
  <c r="F39" i="9"/>
  <c r="F40" i="9" l="1"/>
  <c r="I39" i="9"/>
  <c r="I12" i="9"/>
  <c r="O6" i="9"/>
  <c r="F15" i="9"/>
  <c r="I30" i="9" l="1"/>
  <c r="I34" i="9"/>
  <c r="I22" i="9"/>
  <c r="I40" i="9"/>
  <c r="F11" i="9"/>
  <c r="I13" i="9"/>
  <c r="I14" i="9"/>
  <c r="I15" i="9"/>
  <c r="P6" i="9"/>
  <c r="L7" i="9"/>
  <c r="I11" i="9" l="1"/>
  <c r="Q6" i="9"/>
  <c r="M7" i="9"/>
  <c r="R6" i="9" l="1"/>
  <c r="N7" i="9"/>
  <c r="S6" i="9" l="1"/>
  <c r="O7" i="9"/>
  <c r="T6" i="9" l="1"/>
  <c r="U6" i="9" s="1"/>
  <c r="P7" i="9"/>
  <c r="V6" i="9" l="1"/>
  <c r="U7" i="9"/>
  <c r="Q7" i="9"/>
  <c r="V7" i="9" l="1"/>
  <c r="W6" i="9"/>
  <c r="W7" i="9" s="1"/>
  <c r="R7" i="9"/>
  <c r="R5" i="9"/>
  <c r="R4" i="9"/>
  <c r="S7" i="9" l="1"/>
  <c r="X6" i="9" l="1"/>
  <c r="T7" i="9"/>
  <c r="Y6" i="9" l="1"/>
  <c r="Z6" i="9" l="1"/>
  <c r="AA6" i="9" l="1"/>
  <c r="X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O6" i="9" s="1"/>
  <c r="BK7" i="9"/>
  <c r="BO5" i="9" l="1"/>
  <c r="BO4" i="9"/>
  <c r="BO7" i="9"/>
  <c r="BP6" i="9"/>
  <c r="BL7" i="9"/>
  <c r="BQ6" i="9" l="1"/>
  <c r="BP7" i="9"/>
  <c r="BM7" i="9"/>
  <c r="BR6" i="9" l="1"/>
  <c r="BQ7" i="9"/>
  <c r="BN7" i="9"/>
  <c r="BR7" i="9" l="1"/>
  <c r="BS6" i="9"/>
  <c r="A9" i="9"/>
  <c r="A10" i="9" s="1"/>
  <c r="A11" i="9" s="1"/>
  <c r="BT6" i="9" l="1"/>
  <c r="BS7" i="9"/>
  <c r="A12" i="9"/>
  <c r="A13" i="9" s="1"/>
  <c r="A14" i="9" s="1"/>
  <c r="A15" i="9" s="1"/>
  <c r="A16" i="9" s="1"/>
  <c r="A17" i="9" s="1"/>
  <c r="A18" i="9" s="1"/>
  <c r="A19" i="9" l="1"/>
  <c r="A20" i="9" s="1"/>
  <c r="A21" i="9" s="1"/>
  <c r="A22" i="9" s="1"/>
  <c r="BT7" i="9"/>
  <c r="BU6" i="9"/>
  <c r="A23" i="9" l="1"/>
  <c r="BU7" i="9"/>
  <c r="A24" i="9" l="1"/>
  <c r="A25" i="9" s="1"/>
  <c r="A26" i="9" s="1"/>
  <c r="A27" i="9" s="1"/>
  <c r="A28" i="9" s="1"/>
  <c r="A29" i="9" s="1"/>
  <c r="A30"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<sst xmlns="http://schemas.openxmlformats.org/spreadsheetml/2006/main" count="193" uniqueCount="141">
  <si>
    <t>[Company Name]</t>
  </si>
  <si>
    <t>WBS</t>
  </si>
  <si>
    <t>Getting Started Tips</t>
  </si>
  <si>
    <t>FAQs</t>
  </si>
  <si>
    <t>Q:</t>
  </si>
  <si>
    <t>Creating Task Dependencies</t>
  </si>
  <si>
    <t>[Task]</t>
  </si>
  <si>
    <t>Changing the Color of the Bars in the Gantt Chart</t>
  </si>
  <si>
    <t>Using the Template Rows and Choosing a WBS Level</t>
  </si>
  <si>
    <t>A.</t>
  </si>
  <si>
    <t>Enter the date manually (e.g. 1/3/2015)</t>
  </si>
  <si>
    <t>B.</t>
  </si>
  <si>
    <t>Reference the Project Start Date (e.g. =$E$4 )</t>
  </si>
  <si>
    <t>C.</t>
  </si>
  <si>
    <t>Set the Start date to the next Work Day after another task's End date.</t>
  </si>
  <si>
    <t>D.</t>
  </si>
  <si>
    <t>Set the Start date to the next Calendar Day after another task's End date.</t>
  </si>
  <si>
    <t>E.</t>
  </si>
  <si>
    <t>Set the Start date to a number of days before or after another date.</t>
  </si>
  <si>
    <t>Find a row that works, then copy the cells that make up the gantt chart area from that row into the row that is messed up.</t>
  </si>
  <si>
    <t>Be sure to read the Getting Started Tips below. Watching the video demos for Gantt Chart Template Pro may also help you see how to use the spreadsheet.</t>
  </si>
  <si>
    <t>https://www.vertex42.com/ExcelTemplates/excel-gantt-chart.html</t>
  </si>
  <si>
    <t>https://www.vertex42.com/licensing/EULA_privateuse.html</t>
  </si>
  <si>
    <t>Terms of Use</t>
  </si>
  <si>
    <t>Gantt Chart Template, by Vertex42.com</t>
  </si>
  <si>
    <t>© 2006-2018 Vertex42 LLC</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</si>
  <si>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</si>
  <si>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</si>
  <si>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</si>
  <si>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</si>
  <si>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</si>
  <si>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</si>
  <si>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Watch Demo Videos of the Pro Version on Vertex42.com</t>
  </si>
  <si>
    <t>Please read the license agreement in the TermsOfUse worksheet to learn how you may or may not use and share this spreadsheet.</t>
  </si>
  <si>
    <t>TASK</t>
  </si>
  <si>
    <t>LEAD</t>
  </si>
  <si>
    <t>START</t>
  </si>
  <si>
    <t>END</t>
  </si>
  <si>
    <t>WORK DAYS</t>
  </si>
  <si>
    <t>PREDECESSOR</t>
  </si>
  <si>
    <t>Display Week</t>
  </si>
  <si>
    <t>Gantt Chart Template © 2006-2018 by Vertex42.com</t>
  </si>
  <si>
    <t>Project Lead</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</si>
  <si>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</si>
  <si>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</si>
  <si>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</si>
  <si>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 [Bracketed Text] is meant to be edited, like the project title and task descriptions.</t>
  </si>
  <si>
    <t>• Some of the labels include cell comments to provide extra information.</t>
  </si>
  <si>
    <t>• To adjust the range of dates shown in the Gantt chart, change the Display Week number.</t>
  </si>
  <si>
    <t>• The Project Start Date is used to define the first week shown in the gantt chart.</t>
  </si>
  <si>
    <t>• If you see "#####" in a cell, widen the column to display the cell contents.</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</si>
  <si>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</si>
  <si>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</si>
  <si>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</si>
  <si>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</si>
  <si>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</si>
  <si>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</si>
  <si>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</si>
  <si>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</si>
  <si>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</si>
  <si>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</si>
  <si>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</si>
  <si>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</si>
  <si>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</si>
  <si>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</si>
  <si>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</si>
  <si>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</si>
  <si>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You can enter the Start date manually, or define task dependencies using a formula. Below are some common options for defining the Start date:</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</si>
  <si>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</si>
  <si>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</si>
  <si>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</si>
  <si>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</si>
  <si>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</si>
  <si>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</si>
  <si>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</si>
  <si>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</si>
  <si>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</si>
  <si>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</si>
  <si>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Entering work days instead of calendar days is a feature of the Pro version. There is nothing in the free version preventing you from entering your own formulas, though.</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</si>
  <si>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</si>
  <si>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</si>
  <si>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r>
      <t xml:space="preserve">How do I change the </t>
    </r>
    <r>
      <rPr>
        <b/>
        <sz val="11"/>
        <color theme="4" tint="-0.249977111117893"/>
        <rFont val="Arial"/>
        <family val="2"/>
      </rPr>
      <t>Print Settings</t>
    </r>
    <r>
      <rPr>
        <sz val="11"/>
        <color theme="4" tint="-0.249977111117893"/>
        <rFont val="Arial"/>
        <family val="2"/>
      </rPr>
      <t>? (Excel 2010, 2013)</t>
    </r>
  </si>
  <si>
    <t>Select the entire range of cells you want to print and go to File &gt; Print Area &gt; Set Print Area. Then go to File &gt; Page Setup or File &gt; Print Preview and adjust the Scaling, Margins, and Page Orientation as desired.</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</si>
  <si>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</si>
  <si>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t>You will need to add columns to the right of the Gantt Chart via copy/paste. Copy and paste the columns in groups of 7. Afterwards, you will also probably need to update the print area.</t>
  </si>
  <si>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</si>
  <si>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</si>
  <si>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</si>
  <si>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</si>
  <si>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</si>
  <si>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</si>
  <si>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</si>
  <si>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</si>
  <si>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I've </t>
    </r>
    <r>
      <rPr>
        <b/>
        <sz val="11"/>
        <color theme="4" tint="-0.249977111117893"/>
        <rFont val="Arial"/>
        <family val="2"/>
      </rPr>
      <t>messed up</t>
    </r>
    <r>
      <rPr>
        <sz val="11"/>
        <color theme="4" tint="-0.249977111117893"/>
        <rFont val="Arial"/>
        <family val="2"/>
      </rPr>
      <t xml:space="preserve"> the chart area somehow. How do I fix it?</t>
    </r>
  </si>
  <si>
    <t>Project Start Date</t>
  </si>
  <si>
    <t>• For each task, enter the Start Date and the duration of the task in Days. The End Date and Work Days columns are calculated using formulas.</t>
  </si>
  <si>
    <t>Sprint 01</t>
  </si>
  <si>
    <t>Sprint 02</t>
  </si>
  <si>
    <t>Sprint 03</t>
  </si>
  <si>
    <t>Sprint 04</t>
  </si>
  <si>
    <t>Reading Week</t>
  </si>
  <si>
    <t>Hours</t>
  </si>
  <si>
    <t>Release Plan</t>
  </si>
  <si>
    <t>No.</t>
  </si>
  <si>
    <t xml:space="preserve">Increments,Feature </t>
  </si>
  <si>
    <t>Date</t>
  </si>
  <si>
    <t>[Task Catagory]</t>
  </si>
  <si>
    <t>Status</t>
  </si>
  <si>
    <t>Jared Bansch</t>
  </si>
  <si>
    <t>[Qr Code generator] Project Schedule</t>
  </si>
  <si>
    <t>The system shall allow users to input text or URLs
The system shall display a basic user interface
The system shall connect frontend to Flask backend
The system shall handle basic input submission
The system shall show simple success or error feedback</t>
  </si>
  <si>
    <t>Jared</t>
  </si>
  <si>
    <t>Create Flask Project</t>
  </si>
  <si>
    <t>Create generation route</t>
  </si>
  <si>
    <t>Create HTML Page</t>
  </si>
  <si>
    <t>Add input field and generate button</t>
  </si>
  <si>
    <t xml:space="preserve">Connect HTML to Flask </t>
  </si>
  <si>
    <t xml:space="preserve">create error or success message </t>
  </si>
  <si>
    <t>Create basic Css layout/style</t>
  </si>
  <si>
    <t>Base Setup</t>
  </si>
  <si>
    <t>The system shall allow users to export QR codes as image files
The system shall allow users to regenerate QR codes when input changes
The system shall be tested for reliability and edge cases</t>
  </si>
  <si>
    <t>The system shall validate user input before QR generation
The system shall generate a QR code from valid input                                                                                       The system shall improve UI Design
The system shall display the generated QR code to the user</t>
  </si>
  <si>
    <t>Install and configure QR library</t>
  </si>
  <si>
    <t>Implement QR generation logic</t>
  </si>
  <si>
    <t>Add server-side input validation</t>
  </si>
  <si>
    <t>Add Flask error handler</t>
  </si>
  <si>
    <t>Add network down message</t>
  </si>
  <si>
    <t>Convert QR to displayable format</t>
  </si>
  <si>
    <t>Improve error message clarity</t>
  </si>
  <si>
    <t>Update template to render QR results</t>
  </si>
  <si>
    <t>Improve UI and styling</t>
  </si>
  <si>
    <t>Testing &amp; Finalization</t>
  </si>
  <si>
    <t>Build Basic System</t>
  </si>
  <si>
    <t>Create and Test QR Code Downloading</t>
  </si>
  <si>
    <t>Create and Test QR Sharing over email/social media</t>
  </si>
  <si>
    <t>Improve responsive layout using CSS</t>
  </si>
  <si>
    <t>Test responsiveness using media queries</t>
  </si>
  <si>
    <t>Test error handling</t>
  </si>
  <si>
    <t>Test system reliability and edge cases</t>
  </si>
  <si>
    <t>Document testing results</t>
  </si>
  <si>
    <t>Test QR regeneration when input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</si>
</sst>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81" x14ac:knownFonts="1">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12"/>
      <name val="Arial"/>
      <family val="2"/>
      <scheme val="minor"/>
    </font>
    <font>
      <sz val="10"/>
      <name val="Arial"/>
      <family val="1"/>
      <scheme val="minor"/>
    </font>
    <font>
      <sz val="9"/>
      <name val="Arial"/>
      <family val="1"/>
      <scheme val="minor"/>
    </font>
    <font>
      <b/>
      <sz val="11"/>
      <name val="Arial"/>
      <family val="1"/>
      <scheme val="minor"/>
    </font>
    <font>
      <sz val="9"/>
      <color rgb="FF000000"/>
      <name val="Arial"/>
      <family val="1"/>
      <scheme val="minor"/>
    </font>
    <font>
      <b/>
      <sz val="14"/>
      <color theme="4" tint="-0.499984740745262"/>
      <name val="Arial"/>
      <family val="2"/>
      <scheme val="minor"/>
    </font>
    <font>
      <b/>
      <sz val="10"/>
      <color theme="4" tint="-0.249977111117893"/>
      <name val="Arial"/>
      <family val="2"/>
      <scheme val="minor"/>
    </font>
    <font>
      <b/>
      <sz val="14"/>
      <color theme="0"/>
      <name val="Arial"/>
      <family val="2"/>
      <scheme val="minor"/>
    </font>
    <font>
      <b/>
      <sz val="10"/>
      <color theme="0"/>
      <name val="Arial"/>
      <family val="2"/>
      <scheme val="minor"/>
    </font>
    <font>
      <b/>
      <i/>
      <sz val="8"/>
      <color theme="0"/>
      <name val="Arial"/>
      <family val="2"/>
      <scheme val="minor"/>
    </font>
    <font>
      <sz val="12"/>
      <color theme="4" tint="-0.499984740745262"/>
      <name val="Arial"/>
      <family val="2"/>
      <scheme val="minor"/>
    </font>
    <font>
      <b/>
      <sz val="8"/>
      <color theme="0"/>
      <name val="Arial"/>
      <family val="2"/>
      <scheme val="minor"/>
    </font>
    <font>
      <b/>
      <sz val="8"/>
      <color theme="4"/>
      <name val="Arial"/>
      <family val="2"/>
      <scheme val="minor"/>
    </font>
    <font>
      <sz val="8"/>
      <color theme="0"/>
      <name val="Arial"/>
      <family val="2"/>
      <scheme val="minor"/>
    </font>
    <font>
      <b/>
      <sz val="9"/>
      <color theme="4" tint="-0.249977111117893"/>
      <name val="Arial"/>
      <family val="2"/>
      <scheme val="minor"/>
    </font>
    <font>
      <b/>
      <sz val="10"/>
      <color theme="4"/>
      <name val="Arial"/>
      <family val="2"/>
      <scheme val="minor"/>
    </font>
    <font>
      <b/>
      <u/>
      <sz val="14"/>
      <color theme="4" tint="-0.499984740745262"/>
      <name val="Arial"/>
      <family val="2"/>
      <scheme val="minor"/>
    </font>
    <font>
      <b/>
      <sz val="11"/>
      <color theme="1" tint="0.34998626667073579"/>
      <name val="Arial"/>
      <family val="1"/>
      <scheme val="minor"/>
    </font>
    <font>
      <b/>
      <sz val="8"/>
      <color theme="1" tint="0.34998626667073579"/>
      <name val="Arial"/>
      <family val="1"/>
      <scheme val="minor"/>
    </font>
    <font>
      <sz val="9"/>
      <color theme="0" tint="-0.499984740745262"/>
      <name val="Arial"/>
      <family val="2"/>
      <scheme val="minor"/>
    </font>
    <font>
      <sz val="9"/>
      <color theme="1" tint="0.249977111117893"/>
      <name val="Arial"/>
      <family val="2"/>
      <scheme val="minor"/>
    </font>
    <font>
      <sz val="9"/>
      <name val="Arial"/>
      <family val="2"/>
      <scheme val="minor"/>
    </font>
    <font>
      <sz val="14"/>
      <name val="Arial"/>
      <family val="1"/>
      <scheme val="minor"/>
    </font>
    <font>
      <sz val="14"/>
      <color rgb="FF000000"/>
      <name val="Arial"/>
      <family val="1"/>
      <scheme val="minor"/>
    </font>
    <font>
      <b/>
      <sz val="8"/>
      <color theme="4" tint="-0.249977111117893"/>
      <name val="Arial"/>
      <family val="2"/>
      <scheme val="minor"/>
    </font>
    <font>
      <b/>
      <sz val="8"/>
      <color theme="4" tint="-0.499984740745262"/>
      <name val="Arial"/>
      <family val="2"/>
      <scheme val="minor"/>
    </font>
    <font>
      <b/>
      <u/>
      <sz val="8"/>
      <color theme="4" tint="-0.499984740745262"/>
      <name val="Arial"/>
      <family val="2"/>
      <scheme val="minor"/>
    </font>
    <font>
      <sz val="8"/>
      <color theme="4" tint="-0.499984740745262"/>
      <name val="Arial"/>
      <family val="2"/>
      <scheme val="minor"/>
    </font>
    <font>
      <sz val="8"/>
      <name val="Arial"/>
      <family val="2"/>
      <scheme val="minor"/>
    </font>
    <font>
      <sz val="12"/>
      <color theme="4" tint="-0.249977111117893"/>
      <name val="Arial"/>
      <family val="2"/>
      <scheme val="minor"/>
    </font>
    <font>
      <sz val="10"/>
      <color theme="4" tint="-0.249977111117893"/>
      <name val="Arial"/>
      <family val="2"/>
      <scheme val="minor"/>
    </font>
    <font>
      <sz val="11"/>
      <color theme="4" tint="-0.249977111117893"/>
      <name val="Arial"/>
      <family val="2"/>
      <scheme val="minor"/>
    </font>
    <font>
      <sz val="11"/>
      <color theme="4" tint="-0.499984740745262"/>
      <name val="Arial"/>
      <family val="2"/>
      <scheme val="minor"/>
    </font>
    <font>
      <sz val="8"/>
      <color theme="4" tint="-0.249977111117893"/>
      <name val="Arial"/>
      <family val="2"/>
      <scheme val="minor"/>
    </font>
    <font>
      <sz val="18"/>
      <color theme="0"/>
      <name val="Arial"/>
      <family val="2"/>
      <scheme val="min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b/>
      <sz val="11"/>
      <color theme="4" tint="-0.249977111117893"/>
      <name val="Arial"/>
      <family val="2"/>
    </font>
    <font>
      <sz val="11"/>
      <color rgb="FF000000"/>
      <name val="Arial"/>
      <family val="2"/>
    </font>
    <font>
      <i/>
      <sz val="11"/>
      <name val="Arial"/>
      <family val="2"/>
    </font>
    <font>
      <sz val="11"/>
      <color theme="4" tint="-0.249977111117893"/>
      <name val="Arial"/>
      <family val="2"/>
    </font>
    <font>
      <i/>
      <sz val="11"/>
      <color rgb="FF000000"/>
      <name val="Arial"/>
      <family val="2"/>
    </font>
    <font>
      <sz val="11"/>
      <name val="Arial"/>
      <family val="2"/>
      <scheme val="minor"/>
    </font>
  </fonts>
  <fills count="29">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9"/>
        <bgColor indexed="64"/>
      </patternFill>
    </fill>
  </fills>
  <borders count="4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style="thin">
        <color theme="0" tint="-0.34998626667073579"/>
      </left>
      <right style="thin">
        <color theme="0" tint="-0.34998626667073579"/>
      </right>
      <top/>
      <bottom/>
      <diagonal/>
    </border>
    <border>
      <left/>
      <right/>
      <top/>
      <bottom style="thick">
        <color theme="0" tint="-0.34998626667073579"/>
      </bottom>
      <diagonal/>
    </border>
    <border>
      <left style="thin">
        <color theme="0" tint="-0.34998626667073579"/>
      </left>
      <right style="thin">
        <color theme="0" tint="-0.34998626667073579"/>
      </right>
      <top/>
      <bottom style="thick">
        <color theme="0" tint="-0.34998626667073579"/>
      </bottom>
      <diagonal/>
    </border>
    <border>
      <left/>
      <right style="thin">
        <color theme="0" tint="-0.34998626667073579"/>
      </right>
      <top/>
      <bottom style="thick">
        <color theme="0" tint="-0.34998626667073579"/>
      </bottom>
      <diagonal/>
    </border>
    <border>
      <left style="medium">
        <color theme="0" tint="-0.34998626667073579"/>
      </left>
      <right style="thin">
        <color theme="0" tint="-0.34998626667073579"/>
      </right>
      <top/>
      <bottom style="thick">
        <color theme="0" tint="-0.34998626667073579"/>
      </bottom>
      <diagonal/>
    </border>
    <border>
      <left style="thin">
        <color theme="0" tint="-0.34998626667073579"/>
      </left>
      <right style="medium">
        <color theme="0" tint="-0.34998626667073579"/>
      </right>
      <top/>
      <bottom style="thick">
        <color theme="0" tint="-0.34998626667073579"/>
      </bottom>
      <diagonal/>
    </border>
    <border>
      <left style="thin">
        <color theme="0" tint="-0.34998626667073579"/>
      </left>
      <right/>
      <top/>
      <bottom style="thick">
        <color theme="0" tint="-0.34998626667073579"/>
      </bottom>
      <diagonal/>
    </border>
    <border>
      <left style="medium">
        <color theme="4" tint="0.39994506668294322"/>
      </left>
      <right style="thin">
        <color theme="0" tint="-0.34998626667073579"/>
      </right>
      <top/>
      <bottom/>
      <diagonal/>
    </border>
    <border>
      <left style="thin">
        <color theme="0" tint="-0.34998626667073579"/>
      </left>
      <right style="medium">
        <color theme="4" tint="0.39994506668294322"/>
      </right>
      <top/>
      <bottom/>
      <diagonal/>
    </border>
    <border>
      <left style="thin">
        <color theme="0" tint="-0.34998626667073579"/>
      </left>
      <right style="medium">
        <color theme="4" tint="0.39991454817346722"/>
      </right>
      <top/>
      <bottom/>
      <diagonal/>
    </border>
    <border>
      <left style="medium">
        <color theme="4" tint="0.39991454817346722"/>
      </left>
      <right style="thin">
        <color theme="0" tint="-0.34998626667073579"/>
      </right>
      <top/>
      <bottom/>
      <diagonal/>
    </border>
    <border>
      <left style="thin">
        <color theme="0" tint="-0.34998626667073579"/>
      </left>
      <right style="medium">
        <color theme="4" tint="0.39988402966399123"/>
      </right>
      <top/>
      <bottom/>
      <diagonal/>
    </border>
    <border>
      <left style="medium">
        <color theme="4" tint="0.39988402966399123"/>
      </left>
      <right style="thin">
        <color theme="0" tint="-0.34998626667073579"/>
      </right>
      <top/>
      <bottom/>
      <diagonal/>
    </border>
    <border>
      <left style="thin">
        <color theme="0" tint="-0.34998626667073579"/>
      </left>
      <right style="medium">
        <color theme="4" tint="0.39985351115451523"/>
      </right>
      <top/>
      <bottom/>
      <diagonal/>
    </border>
    <border>
      <left style="medium">
        <color theme="4" tint="0.39985351115451523"/>
      </left>
      <right style="thin">
        <color theme="0" tint="-0.34998626667073579"/>
      </right>
      <top/>
      <bottom/>
      <diagonal/>
    </border>
    <border>
      <left style="thin">
        <color theme="0" tint="-0.34998626667073579"/>
      </left>
      <right style="medium">
        <color theme="4" tint="0.39982299264503923"/>
      </right>
      <top/>
      <bottom/>
      <diagonal/>
    </border>
    <border>
      <left style="medium">
        <color theme="4" tint="0.39982299264503923"/>
      </left>
      <right style="thin">
        <color theme="0" tint="-0.34998626667073579"/>
      </right>
      <top/>
      <bottom/>
      <diagonal/>
    </border>
    <border>
      <left style="thin">
        <color theme="0" tint="-0.34998626667073579"/>
      </left>
      <right style="medium">
        <color theme="4" tint="0.39979247413556324"/>
      </right>
      <top/>
      <bottom/>
      <diagonal/>
    </border>
    <border>
      <left style="medium">
        <color theme="4" tint="0.39979247413556324"/>
      </left>
      <right style="thin">
        <color theme="0" tint="-0.34998626667073579"/>
      </right>
      <top/>
      <bottom/>
      <diagonal/>
    </border>
    <border>
      <left style="thin">
        <color theme="0" tint="-0.34998626667073579"/>
      </left>
      <right style="medium">
        <color theme="4" tint="0.39976195562608724"/>
      </right>
      <top/>
      <bottom/>
      <diagonal/>
    </border>
    <border>
      <left style="medium">
        <color theme="4" tint="0.39976195562608724"/>
      </left>
      <right style="thin">
        <color theme="0" tint="-0.34998626667073579"/>
      </right>
      <top/>
      <bottom/>
      <diagonal/>
    </border>
    <border>
      <left style="thin">
        <color theme="0" tint="-0.34998626667073579"/>
      </left>
      <right style="medium">
        <color theme="4" tint="0.39973143711661124"/>
      </right>
      <top/>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4" tint="0.79995117038483843"/>
      </left>
      <right/>
      <top style="medium">
        <color theme="4" tint="0.79995117038483843"/>
      </top>
      <bottom style="medium">
        <color theme="4" tint="0.79995117038483843"/>
      </bottom>
      <diagonal/>
    </border>
    <border>
      <left/>
      <right/>
      <top style="medium">
        <color theme="4" tint="0.79995117038483843"/>
      </top>
      <bottom style="medium">
        <color theme="4" tint="0.79995117038483843"/>
      </bottom>
      <diagonal/>
    </border>
    <border>
      <left/>
      <right style="medium">
        <color theme="4" tint="0.79995117038483843"/>
      </right>
      <top style="medium">
        <color theme="4" tint="0.79995117038483843"/>
      </top>
      <bottom style="medium">
        <color theme="4" tint="0.79995117038483843"/>
      </bottom>
      <diagonal/>
    </border>
    <border>
      <left style="medium">
        <color theme="4" tint="0.39994506668294322"/>
      </left>
      <right/>
      <top/>
      <bottom/>
      <diagonal/>
    </border>
    <border>
      <left/>
      <right style="medium">
        <color theme="4" tint="0.39994506668294322"/>
      </right>
      <top/>
      <bottom/>
      <diagonal/>
    </border>
    <border>
      <left/>
      <right/>
      <top style="thin">
        <color indexed="22"/>
      </top>
      <bottom/>
      <diagonal/>
    </border>
  </borders>
  <cellStyleXfs count="44">
    <xf numFmtId="0" fontId="0" fillId="0" borderId="0"/>
    <xf numFmtId="0" fontId="7" fillId="2"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2"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0" applyNumberFormat="0" applyBorder="0" applyAlignment="0" applyProtection="0"/>
    <xf numFmtId="0" fontId="10" fillId="17" borderId="1" applyNumberFormat="0" applyAlignment="0" applyProtection="0"/>
    <xf numFmtId="0" fontId="11" fillId="18" borderId="2" applyNumberFormat="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2" fillId="0" borderId="0" applyNumberFormat="0" applyFill="0" applyBorder="0" applyAlignment="0" applyProtection="0">
      <alignment vertical="top"/>
      <protection locked="0"/>
    </xf>
    <xf numFmtId="0" fontId="17" fillId="11" borderId="1" applyNumberFormat="0" applyAlignment="0" applyProtection="0"/>
    <xf numFmtId="0" fontId="18" fillId="0" borderId="6" applyNumberFormat="0" applyFill="0" applyAlignment="0" applyProtection="0"/>
    <xf numFmtId="0" fontId="19" fillId="5" borderId="0" applyNumberFormat="0" applyBorder="0" applyAlignment="0" applyProtection="0"/>
    <xf numFmtId="0" fontId="5" fillId="5" borderId="7" applyNumberFormat="0" applyFont="0" applyAlignment="0" applyProtection="0"/>
    <xf numFmtId="0" fontId="20" fillId="17" borderId="8" applyNumberFormat="0" applyAlignment="0" applyProtection="0"/>
    <xf numFmtId="9" fontId="1" fillId="0" borderId="0" applyFon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176">
    <xf numFmtId="0" fontId="0" fillId="0" borderId="0" xfId="0"/>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2" xfId="0" applyFont="1" applyBorder="1"/>
    <xf numFmtId="0" fontId="0" fillId="0" borderId="12" xfId="0" applyBorder="1"/>
    <xf numFmtId="0" fontId="24" fillId="0" borderId="12" xfId="0" applyFont="1" applyBorder="1" applyAlignment="1">
      <alignment horizontal="left" wrapText="1"/>
    </xf>
    <xf numFmtId="0" fontId="4" fillId="0" borderId="12" xfId="0" applyFont="1" applyBorder="1" applyAlignment="1">
      <alignment horizontal="left" wrapText="1"/>
    </xf>
    <xf numFmtId="0" fontId="24" fillId="0" borderId="12" xfId="0" applyFont="1" applyBorder="1" applyAlignment="1">
      <alignment horizontal="left"/>
    </xf>
    <xf numFmtId="0" fontId="3" fillId="0" borderId="0" xfId="0" applyFont="1" applyAlignment="1">
      <alignment wrapText="1"/>
    </xf>
    <xf numFmtId="0" fontId="3" fillId="0" borderId="0" xfId="0" applyFont="1" applyAlignment="1">
      <alignment horizontal="left" vertical="center"/>
    </xf>
    <xf numFmtId="0" fontId="24" fillId="0" borderId="13" xfId="0" applyFont="1" applyBorder="1" applyAlignment="1">
      <alignment horizontal="left" wrapText="1"/>
    </xf>
    <xf numFmtId="0" fontId="25" fillId="0" borderId="12" xfId="34" applyFont="1" applyBorder="1" applyAlignment="1" applyProtection="1">
      <alignment horizontal="left" wrapText="1"/>
    </xf>
    <xf numFmtId="0" fontId="30" fillId="0" borderId="13" xfId="34" applyFont="1" applyBorder="1" applyAlignment="1" applyProtection="1">
      <alignment wrapText="1"/>
    </xf>
    <xf numFmtId="0" fontId="28" fillId="0" borderId="0" xfId="0" applyFont="1"/>
    <xf numFmtId="0" fontId="27" fillId="0" borderId="0" xfId="0" applyFont="1" applyAlignment="1">
      <alignment horizontal="left" vertical="center"/>
    </xf>
    <xf numFmtId="0" fontId="26" fillId="0" borderId="0" xfId="0" applyFont="1" applyAlignment="1">
      <alignment horizontal="left" vertical="center"/>
    </xf>
    <xf numFmtId="0" fontId="1" fillId="0" borderId="13" xfId="0" applyFont="1" applyBorder="1"/>
    <xf numFmtId="0" fontId="0" fillId="0" borderId="13" xfId="0" applyBorder="1"/>
    <xf numFmtId="0" fontId="24" fillId="0" borderId="0" xfId="0" applyFont="1" applyAlignment="1">
      <alignment horizontal="left" wrapText="1"/>
    </xf>
    <xf numFmtId="0" fontId="36" fillId="0" borderId="0" xfId="0" applyFont="1"/>
    <xf numFmtId="0" fontId="37" fillId="20" borderId="14" xfId="0" applyFont="1" applyFill="1" applyBorder="1" applyAlignment="1">
      <alignment vertical="center"/>
    </xf>
    <xf numFmtId="0" fontId="37" fillId="20" borderId="14" xfId="0" applyFont="1" applyFill="1" applyBorder="1" applyAlignment="1">
      <alignment horizontal="center" vertical="center"/>
    </xf>
    <xf numFmtId="165" fontId="37" fillId="20" borderId="14" xfId="0" applyNumberFormat="1" applyFont="1" applyFill="1" applyBorder="1" applyAlignment="1">
      <alignment horizontal="right" vertical="center"/>
    </xf>
    <xf numFmtId="1" fontId="37" fillId="20" borderId="14" xfId="40" applyNumberFormat="1" applyFont="1" applyFill="1" applyBorder="1" applyAlignment="1" applyProtection="1">
      <alignment horizontal="center" vertical="center"/>
    </xf>
    <xf numFmtId="9" fontId="37" fillId="20" borderId="14" xfId="40" applyFont="1" applyFill="1" applyBorder="1" applyAlignment="1" applyProtection="1">
      <alignment horizontal="center" vertical="center"/>
    </xf>
    <xf numFmtId="0" fontId="37" fillId="20" borderId="10" xfId="0" applyFont="1" applyFill="1" applyBorder="1" applyAlignment="1">
      <alignment vertical="center"/>
    </xf>
    <xf numFmtId="0" fontId="37" fillId="0" borderId="10" xfId="0" applyFont="1" applyBorder="1" applyAlignment="1">
      <alignment vertical="center"/>
    </xf>
    <xf numFmtId="0" fontId="39" fillId="0" borderId="11" xfId="0" applyFont="1" applyBorder="1" applyAlignment="1">
      <alignment horizontal="center" vertical="center"/>
    </xf>
    <xf numFmtId="0" fontId="37" fillId="0" borderId="10" xfId="0" applyFont="1" applyBorder="1" applyAlignment="1">
      <alignment horizontal="center" vertical="center"/>
    </xf>
    <xf numFmtId="0" fontId="37" fillId="0" borderId="10" xfId="0" applyFont="1" applyBorder="1" applyAlignment="1">
      <alignment horizontal="left" vertical="center" wrapText="1" indent="1"/>
    </xf>
    <xf numFmtId="0" fontId="37" fillId="20" borderId="10" xfId="0" applyFont="1" applyFill="1" applyBorder="1" applyAlignment="1">
      <alignment horizontal="center" vertical="center"/>
    </xf>
    <xf numFmtId="1" fontId="37" fillId="20" borderId="10" xfId="40" applyNumberFormat="1" applyFont="1" applyFill="1" applyBorder="1" applyAlignment="1" applyProtection="1">
      <alignment horizontal="center" vertical="center"/>
    </xf>
    <xf numFmtId="9" fontId="37" fillId="20" borderId="10" xfId="40" applyFont="1" applyFill="1" applyBorder="1" applyAlignment="1" applyProtection="1">
      <alignment horizontal="center" vertical="center"/>
    </xf>
    <xf numFmtId="0" fontId="42" fillId="24" borderId="0" xfId="0" applyFont="1" applyFill="1" applyAlignment="1" applyProtection="1">
      <alignment vertical="center"/>
      <protection locked="0"/>
    </xf>
    <xf numFmtId="0" fontId="43" fillId="24" borderId="0" xfId="0" applyFont="1" applyFill="1"/>
    <xf numFmtId="0" fontId="44" fillId="24" borderId="0" xfId="0" applyFont="1" applyFill="1" applyAlignment="1">
      <alignment vertical="center"/>
    </xf>
    <xf numFmtId="1" fontId="39" fillId="22" borderId="11" xfId="0" applyNumberFormat="1" applyFont="1" applyFill="1" applyBorder="1" applyAlignment="1">
      <alignment horizontal="center" vertical="center"/>
    </xf>
    <xf numFmtId="9" fontId="39" fillId="22" borderId="11" xfId="40" applyFont="1" applyFill="1" applyBorder="1" applyAlignment="1" applyProtection="1">
      <alignment horizontal="center" vertical="center"/>
    </xf>
    <xf numFmtId="0" fontId="48" fillId="27" borderId="16" xfId="0" applyFont="1" applyFill="1" applyBorder="1" applyAlignment="1">
      <alignment horizontal="center" vertical="center" wrapText="1"/>
    </xf>
    <xf numFmtId="0" fontId="46" fillId="27" borderId="16" xfId="0" applyFont="1" applyFill="1" applyBorder="1" applyAlignment="1">
      <alignment horizontal="left" vertical="center"/>
    </xf>
    <xf numFmtId="0" fontId="46" fillId="27" borderId="16" xfId="0" applyFont="1" applyFill="1" applyBorder="1" applyAlignment="1">
      <alignment horizontal="center" vertical="center" wrapText="1"/>
    </xf>
    <xf numFmtId="0" fontId="46" fillId="27" borderId="16" xfId="0" applyFont="1" applyFill="1" applyBorder="1" applyAlignment="1">
      <alignment horizontal="center" vertical="center"/>
    </xf>
    <xf numFmtId="0" fontId="48" fillId="26" borderId="17" xfId="0" applyFont="1" applyFill="1" applyBorder="1" applyAlignment="1">
      <alignment horizontal="center" vertical="center" shrinkToFit="1"/>
    </xf>
    <xf numFmtId="0" fontId="48" fillId="26" borderId="16" xfId="0" applyFont="1" applyFill="1" applyBorder="1"/>
    <xf numFmtId="0" fontId="48" fillId="23" borderId="16" xfId="0" applyFont="1" applyFill="1" applyBorder="1"/>
    <xf numFmtId="0" fontId="50" fillId="23" borderId="0" xfId="0" applyFont="1" applyFill="1"/>
    <xf numFmtId="166" fontId="47" fillId="23" borderId="15" xfId="0" applyNumberFormat="1" applyFont="1" applyFill="1" applyBorder="1" applyAlignment="1">
      <alignment horizontal="center" vertical="center" shrinkToFit="1"/>
    </xf>
    <xf numFmtId="0" fontId="41" fillId="23" borderId="0" xfId="0" applyFont="1" applyFill="1" applyAlignment="1">
      <alignment vertical="center"/>
    </xf>
    <xf numFmtId="0" fontId="40" fillId="25" borderId="0" xfId="0" applyFont="1" applyFill="1" applyAlignment="1" applyProtection="1">
      <alignment vertical="center"/>
      <protection locked="0"/>
    </xf>
    <xf numFmtId="0" fontId="51" fillId="25" borderId="0" xfId="34" applyNumberFormat="1" applyFont="1" applyFill="1" applyBorder="1" applyAlignment="1" applyProtection="1">
      <alignment horizontal="right" vertical="center"/>
      <protection locked="0"/>
    </xf>
    <xf numFmtId="0" fontId="45" fillId="25" borderId="0" xfId="0" applyFont="1" applyFill="1" applyAlignment="1" applyProtection="1">
      <alignment vertical="center"/>
      <protection locked="0"/>
    </xf>
    <xf numFmtId="0" fontId="35" fillId="25" borderId="0" xfId="0" applyFont="1" applyFill="1" applyAlignment="1">
      <alignment vertical="center"/>
    </xf>
    <xf numFmtId="0" fontId="48" fillId="26" borderId="18" xfId="0" applyFont="1" applyFill="1" applyBorder="1" applyAlignment="1">
      <alignment horizontal="center" vertical="center" shrinkToFit="1"/>
    </xf>
    <xf numFmtId="0" fontId="48" fillId="26" borderId="19" xfId="0" applyFont="1" applyFill="1" applyBorder="1" applyAlignment="1">
      <alignment horizontal="center" vertical="center" shrinkToFit="1"/>
    </xf>
    <xf numFmtId="0" fontId="48" fillId="26" borderId="20" xfId="0" applyFont="1" applyFill="1" applyBorder="1" applyAlignment="1">
      <alignment horizontal="center" vertical="center" shrinkToFit="1"/>
    </xf>
    <xf numFmtId="0" fontId="48" fillId="26" borderId="21" xfId="0" applyFont="1" applyFill="1" applyBorder="1" applyAlignment="1">
      <alignment horizontal="center" vertical="center" shrinkToFit="1"/>
    </xf>
    <xf numFmtId="166" fontId="47" fillId="23" borderId="22" xfId="0" applyNumberFormat="1" applyFont="1" applyFill="1" applyBorder="1" applyAlignment="1">
      <alignment horizontal="center" vertical="center" shrinkToFit="1"/>
    </xf>
    <xf numFmtId="166" fontId="47" fillId="23" borderId="23" xfId="0" applyNumberFormat="1" applyFont="1" applyFill="1" applyBorder="1" applyAlignment="1">
      <alignment horizontal="center" vertical="center" shrinkToFit="1"/>
    </xf>
    <xf numFmtId="166" fontId="47" fillId="23" borderId="24" xfId="0" applyNumberFormat="1" applyFont="1" applyFill="1" applyBorder="1" applyAlignment="1">
      <alignment horizontal="center" vertical="center" shrinkToFit="1"/>
    </xf>
    <xf numFmtId="166" fontId="47" fillId="23" borderId="25" xfId="0" applyNumberFormat="1" applyFont="1" applyFill="1" applyBorder="1" applyAlignment="1">
      <alignment horizontal="center" vertical="center" shrinkToFit="1"/>
    </xf>
    <xf numFmtId="166" fontId="47" fillId="23" borderId="26" xfId="0" applyNumberFormat="1" applyFont="1" applyFill="1" applyBorder="1" applyAlignment="1">
      <alignment horizontal="center" vertical="center" shrinkToFit="1"/>
    </xf>
    <xf numFmtId="166" fontId="47" fillId="23" borderId="27" xfId="0" applyNumberFormat="1" applyFont="1" applyFill="1" applyBorder="1" applyAlignment="1">
      <alignment horizontal="center" vertical="center" shrinkToFit="1"/>
    </xf>
    <xf numFmtId="166" fontId="47" fillId="23" borderId="28" xfId="0" applyNumberFormat="1" applyFont="1" applyFill="1" applyBorder="1" applyAlignment="1">
      <alignment horizontal="center" vertical="center" shrinkToFit="1"/>
    </xf>
    <xf numFmtId="166" fontId="47" fillId="23" borderId="29" xfId="0" applyNumberFormat="1" applyFont="1" applyFill="1" applyBorder="1" applyAlignment="1">
      <alignment horizontal="center" vertical="center" shrinkToFit="1"/>
    </xf>
    <xf numFmtId="166" fontId="47" fillId="23" borderId="30" xfId="0" applyNumberFormat="1" applyFont="1" applyFill="1" applyBorder="1" applyAlignment="1">
      <alignment horizontal="center" vertical="center" shrinkToFit="1"/>
    </xf>
    <xf numFmtId="166" fontId="47" fillId="23" borderId="31" xfId="0" applyNumberFormat="1" applyFont="1" applyFill="1" applyBorder="1" applyAlignment="1">
      <alignment horizontal="center" vertical="center" shrinkToFit="1"/>
    </xf>
    <xf numFmtId="166" fontId="47" fillId="23" borderId="32" xfId="0" applyNumberFormat="1" applyFont="1" applyFill="1" applyBorder="1" applyAlignment="1">
      <alignment horizontal="center" vertical="center" shrinkToFit="1"/>
    </xf>
    <xf numFmtId="166" fontId="47" fillId="23" borderId="33" xfId="0" applyNumberFormat="1" applyFont="1" applyFill="1" applyBorder="1" applyAlignment="1">
      <alignment horizontal="center" vertical="center" shrinkToFit="1"/>
    </xf>
    <xf numFmtId="166" fontId="47" fillId="23" borderId="34" xfId="0" applyNumberFormat="1" applyFont="1" applyFill="1" applyBorder="1" applyAlignment="1">
      <alignment horizontal="center" vertical="center" shrinkToFit="1"/>
    </xf>
    <xf numFmtId="166" fontId="47" fillId="23" borderId="35" xfId="0" applyNumberFormat="1" applyFont="1" applyFill="1" applyBorder="1" applyAlignment="1">
      <alignment horizontal="center" vertical="center" shrinkToFit="1"/>
    </xf>
    <xf numFmtId="166" fontId="47" fillId="23" borderId="36" xfId="0" applyNumberFormat="1" applyFont="1" applyFill="1" applyBorder="1" applyAlignment="1">
      <alignment horizontal="center" vertical="center" shrinkToFit="1"/>
    </xf>
    <xf numFmtId="0" fontId="38" fillId="20" borderId="14" xfId="0" applyFont="1" applyFill="1" applyBorder="1" applyAlignment="1">
      <alignment horizontal="left" vertical="center" indent="1"/>
    </xf>
    <xf numFmtId="165" fontId="54" fillId="20" borderId="10" xfId="0" applyNumberFormat="1" applyFont="1" applyFill="1" applyBorder="1" applyAlignment="1">
      <alignment horizontal="right" vertical="center"/>
    </xf>
    <xf numFmtId="165" fontId="55" fillId="20" borderId="10" xfId="0" applyNumberFormat="1" applyFont="1" applyFill="1" applyBorder="1" applyAlignment="1">
      <alignment horizontal="right" vertical="center"/>
    </xf>
    <xf numFmtId="0" fontId="46" fillId="27" borderId="16" xfId="0" applyFont="1" applyFill="1" applyBorder="1" applyAlignment="1">
      <alignment horizontal="right" vertical="center" wrapText="1"/>
    </xf>
    <xf numFmtId="165" fontId="55" fillId="21" borderId="11" xfId="0" applyNumberFormat="1" applyFont="1" applyFill="1" applyBorder="1" applyAlignment="1">
      <alignment horizontal="center" vertical="center"/>
    </xf>
    <xf numFmtId="165" fontId="54" fillId="20" borderId="10" xfId="0" applyNumberFormat="1" applyFont="1" applyFill="1" applyBorder="1" applyAlignment="1">
      <alignment horizontal="center" vertical="center"/>
    </xf>
    <xf numFmtId="165" fontId="55" fillId="20" borderId="10" xfId="0" applyNumberFormat="1" applyFont="1" applyFill="1" applyBorder="1" applyAlignment="1">
      <alignment horizontal="center" vertical="center"/>
    </xf>
    <xf numFmtId="165" fontId="56" fillId="0" borderId="11" xfId="0" applyNumberFormat="1" applyFont="1" applyBorder="1" applyAlignment="1">
      <alignment horizontal="center" vertical="center"/>
    </xf>
    <xf numFmtId="0" fontId="56" fillId="0" borderId="10" xfId="0" applyFont="1" applyBorder="1" applyAlignment="1">
      <alignment horizontal="left" vertical="center" wrapText="1" indent="1"/>
    </xf>
    <xf numFmtId="0" fontId="56" fillId="0" borderId="10" xfId="0" applyFont="1" applyBorder="1" applyAlignment="1">
      <alignment vertical="center"/>
    </xf>
    <xf numFmtId="0" fontId="56" fillId="0" borderId="11" xfId="0" applyFont="1" applyBorder="1" applyAlignment="1">
      <alignment horizontal="center" vertical="center"/>
    </xf>
    <xf numFmtId="0" fontId="52" fillId="20" borderId="14" xfId="0" applyFont="1" applyFill="1" applyBorder="1" applyAlignment="1">
      <alignment horizontal="left" vertical="center"/>
    </xf>
    <xf numFmtId="0" fontId="53" fillId="21" borderId="10" xfId="0" applyFont="1" applyFill="1" applyBorder="1" applyAlignment="1">
      <alignment horizontal="left" vertical="center"/>
    </xf>
    <xf numFmtId="0" fontId="52" fillId="20" borderId="10" xfId="0" applyFont="1" applyFill="1" applyBorder="1" applyAlignment="1">
      <alignment horizontal="left" vertical="center"/>
    </xf>
    <xf numFmtId="1" fontId="57" fillId="20" borderId="14" xfId="0" applyNumberFormat="1" applyFont="1" applyFill="1" applyBorder="1" applyAlignment="1">
      <alignment horizontal="center" vertical="center"/>
    </xf>
    <xf numFmtId="1" fontId="58" fillId="21" borderId="11" xfId="0" applyNumberFormat="1" applyFont="1" applyFill="1" applyBorder="1" applyAlignment="1">
      <alignment horizontal="center" vertical="center"/>
    </xf>
    <xf numFmtId="1" fontId="57" fillId="20" borderId="10" xfId="0" applyNumberFormat="1" applyFont="1" applyFill="1" applyBorder="1" applyAlignment="1">
      <alignment horizontal="center" vertical="center"/>
    </xf>
    <xf numFmtId="0" fontId="59" fillId="23" borderId="0" xfId="0" applyFont="1" applyFill="1"/>
    <xf numFmtId="0" fontId="60" fillId="23" borderId="0" xfId="0" applyFont="1" applyFill="1" applyAlignment="1" applyProtection="1">
      <alignment vertical="center"/>
      <protection locked="0"/>
    </xf>
    <xf numFmtId="0" fontId="61" fillId="23" borderId="0" xfId="34" applyNumberFormat="1" applyFont="1" applyFill="1" applyBorder="1" applyAlignment="1" applyProtection="1">
      <alignment horizontal="right" vertical="center"/>
      <protection locked="0"/>
    </xf>
    <xf numFmtId="0" fontId="62" fillId="23" borderId="0" xfId="0" applyFont="1" applyFill="1" applyAlignment="1" applyProtection="1">
      <alignment vertical="center"/>
      <protection locked="0"/>
    </xf>
    <xf numFmtId="0" fontId="63" fillId="23" borderId="0" xfId="0" applyFont="1" applyFill="1" applyAlignment="1">
      <alignment vertical="center"/>
    </xf>
    <xf numFmtId="1" fontId="55" fillId="21" borderId="11" xfId="0" applyNumberFormat="1" applyFont="1" applyFill="1" applyBorder="1" applyAlignment="1">
      <alignment horizontal="right" vertical="center" indent="1"/>
    </xf>
    <xf numFmtId="1" fontId="55" fillId="20" borderId="10" xfId="0" applyNumberFormat="1" applyFont="1" applyFill="1" applyBorder="1" applyAlignment="1">
      <alignment horizontal="right" vertical="center" indent="1"/>
    </xf>
    <xf numFmtId="1" fontId="55" fillId="20" borderId="14" xfId="0" applyNumberFormat="1" applyFont="1" applyFill="1" applyBorder="1" applyAlignment="1">
      <alignment horizontal="center" vertical="center"/>
    </xf>
    <xf numFmtId="0" fontId="64" fillId="23" borderId="0" xfId="0" applyFont="1" applyFill="1"/>
    <xf numFmtId="0" fontId="65" fillId="23" borderId="0" xfId="0" applyFont="1" applyFill="1" applyAlignment="1">
      <alignment vertical="center"/>
    </xf>
    <xf numFmtId="0" fontId="67" fillId="25" borderId="0" xfId="0" applyFont="1" applyFill="1" applyAlignment="1" applyProtection="1">
      <alignment horizontal="left" vertical="center" indent="1"/>
      <protection locked="0"/>
    </xf>
    <xf numFmtId="0" fontId="66" fillId="23" borderId="0" xfId="0" applyFont="1" applyFill="1" applyAlignment="1">
      <alignment horizontal="right" vertical="center" indent="1"/>
    </xf>
    <xf numFmtId="0" fontId="66" fillId="22" borderId="37" xfId="0" applyFont="1" applyFill="1" applyBorder="1" applyAlignment="1" applyProtection="1">
      <alignment horizontal="center" vertical="center"/>
      <protection locked="0"/>
    </xf>
    <xf numFmtId="0" fontId="69" fillId="24" borderId="0" xfId="0" applyFont="1" applyFill="1" applyAlignment="1" applyProtection="1">
      <alignment horizontal="left" vertical="center" indent="1"/>
      <protection locked="0"/>
    </xf>
    <xf numFmtId="0" fontId="30" fillId="0" borderId="0" xfId="34" applyFont="1" applyAlignment="1" applyProtection="1"/>
    <xf numFmtId="0" fontId="70" fillId="0" borderId="0" xfId="0" applyFont="1"/>
    <xf numFmtId="0" fontId="71" fillId="0" borderId="0" xfId="0" applyFont="1" applyAlignment="1">
      <alignment horizontal="left" wrapText="1"/>
    </xf>
    <xf numFmtId="0" fontId="71" fillId="0" borderId="0" xfId="0" applyFont="1" applyAlignment="1">
      <alignment wrapText="1"/>
    </xf>
    <xf numFmtId="0" fontId="72" fillId="0" borderId="0" xfId="0" applyFont="1" applyAlignment="1">
      <alignment vertical="center"/>
    </xf>
    <xf numFmtId="0" fontId="71" fillId="0" borderId="0" xfId="0" applyFont="1" applyAlignment="1">
      <alignment vertical="center" wrapText="1"/>
    </xf>
    <xf numFmtId="0" fontId="1" fillId="0" borderId="0" xfId="0" applyFont="1" applyAlignment="1">
      <alignment vertical="center"/>
    </xf>
    <xf numFmtId="0" fontId="72" fillId="0" borderId="0" xfId="0" applyFont="1"/>
    <xf numFmtId="0" fontId="73" fillId="0" borderId="0" xfId="0" applyFont="1" applyAlignment="1">
      <alignment vertical="center" wrapText="1"/>
    </xf>
    <xf numFmtId="0" fontId="75" fillId="0" borderId="0" xfId="0" applyFont="1"/>
    <xf numFmtId="0" fontId="30" fillId="0" borderId="0" xfId="34" applyFont="1" applyFill="1" applyBorder="1" applyAlignment="1" applyProtection="1">
      <alignment vertical="center"/>
    </xf>
    <xf numFmtId="0" fontId="76" fillId="0" borderId="0" xfId="0" applyFont="1" applyAlignment="1">
      <alignment horizontal="right"/>
    </xf>
    <xf numFmtId="0" fontId="71" fillId="0" borderId="0" xfId="0" applyFont="1"/>
    <xf numFmtId="0" fontId="75" fillId="0" borderId="0" xfId="0" applyFont="1" applyAlignment="1">
      <alignment horizontal="right"/>
    </xf>
    <xf numFmtId="0" fontId="78" fillId="0" borderId="0" xfId="0" applyFont="1" applyAlignment="1">
      <alignment vertical="center" wrapText="1"/>
    </xf>
    <xf numFmtId="0" fontId="71" fillId="0" borderId="0" xfId="0" applyFont="1" applyAlignment="1">
      <alignment horizontal="left" vertical="center" wrapText="1"/>
    </xf>
    <xf numFmtId="0" fontId="71" fillId="0" borderId="0" xfId="0" applyFont="1" applyAlignment="1">
      <alignment horizontal="left" indent="1"/>
    </xf>
    <xf numFmtId="0" fontId="78" fillId="0" borderId="0" xfId="0" applyFont="1"/>
    <xf numFmtId="0" fontId="76" fillId="0" borderId="0" xfId="0" applyFont="1" applyAlignment="1">
      <alignment horizontal="left" wrapText="1"/>
    </xf>
    <xf numFmtId="0" fontId="29" fillId="0" borderId="0" xfId="0" quotePrefix="1" applyFont="1" applyAlignment="1">
      <alignment horizontal="left" indent="1"/>
    </xf>
    <xf numFmtId="0" fontId="71" fillId="0" borderId="0" xfId="0" quotePrefix="1" applyFont="1" applyAlignment="1">
      <alignment horizontal="left" wrapText="1" indent="1"/>
    </xf>
    <xf numFmtId="0" fontId="71" fillId="0" borderId="0" xfId="0" quotePrefix="1" applyFont="1" applyAlignment="1">
      <alignment wrapText="1"/>
    </xf>
    <xf numFmtId="0" fontId="43" fillId="24" borderId="0" xfId="0" applyFont="1" applyFill="1" applyAlignment="1">
      <alignment horizontal="center" vertical="center"/>
    </xf>
    <xf numFmtId="0" fontId="39" fillId="0" borderId="0" xfId="0" applyFont="1" applyAlignment="1">
      <alignment vertical="center"/>
    </xf>
    <xf numFmtId="0" fontId="37" fillId="0" borderId="0" xfId="0" applyFont="1" applyAlignment="1">
      <alignment vertical="center"/>
    </xf>
    <xf numFmtId="0" fontId="56" fillId="0" borderId="0" xfId="0" applyFont="1" applyAlignment="1">
      <alignment vertical="center"/>
    </xf>
    <xf numFmtId="0" fontId="37" fillId="24" borderId="10" xfId="0" applyFont="1" applyFill="1" applyBorder="1" applyAlignment="1">
      <alignment horizontal="center" vertical="center"/>
    </xf>
    <xf numFmtId="0" fontId="37" fillId="0" borderId="0" xfId="0" applyFont="1" applyAlignment="1">
      <alignment horizontal="left" vertical="center" wrapText="1" indent="1"/>
    </xf>
    <xf numFmtId="166" fontId="47" fillId="28" borderId="15" xfId="0" applyNumberFormat="1" applyFont="1" applyFill="1" applyBorder="1" applyAlignment="1">
      <alignment horizontal="center" vertical="center" shrinkToFit="1"/>
    </xf>
    <xf numFmtId="0" fontId="37" fillId="22" borderId="10" xfId="0" applyFont="1" applyFill="1" applyBorder="1" applyAlignment="1">
      <alignment horizontal="center" vertical="center"/>
    </xf>
    <xf numFmtId="0" fontId="68" fillId="23" borderId="41" xfId="0" applyFont="1" applyFill="1" applyBorder="1" applyAlignment="1">
      <alignment horizontal="center" vertical="center"/>
    </xf>
    <xf numFmtId="0" fontId="68" fillId="23" borderId="0" xfId="0" applyFont="1" applyFill="1" applyAlignment="1">
      <alignment horizontal="center" vertical="center"/>
    </xf>
    <xf numFmtId="0" fontId="68" fillId="23" borderId="42" xfId="0" applyFont="1" applyFill="1" applyBorder="1" applyAlignment="1">
      <alignment horizontal="center" vertical="center"/>
    </xf>
    <xf numFmtId="0" fontId="37" fillId="0" borderId="43" xfId="0" applyFont="1" applyBorder="1" applyAlignment="1">
      <alignment horizontal="center" vertical="center" wrapText="1"/>
    </xf>
    <xf numFmtId="0" fontId="66" fillId="23" borderId="25" xfId="0" applyFont="1" applyFill="1" applyBorder="1" applyAlignment="1">
      <alignment horizontal="center" vertical="center"/>
    </xf>
    <xf numFmtId="0" fontId="66" fillId="23" borderId="15" xfId="0" applyFont="1" applyFill="1" applyBorder="1" applyAlignment="1">
      <alignment horizontal="center" vertical="center"/>
    </xf>
    <xf numFmtId="0" fontId="66" fillId="23" borderId="26" xfId="0" applyFont="1" applyFill="1" applyBorder="1" applyAlignment="1">
      <alignment horizontal="center" vertical="center"/>
    </xf>
    <xf numFmtId="167" fontId="49" fillId="23" borderId="25" xfId="0" applyNumberFormat="1" applyFont="1" applyFill="1" applyBorder="1" applyAlignment="1">
      <alignment horizontal="center" vertical="center"/>
    </xf>
    <xf numFmtId="167" fontId="49" fillId="23" borderId="15" xfId="0" applyNumberFormat="1" applyFont="1" applyFill="1" applyBorder="1" applyAlignment="1">
      <alignment horizontal="center" vertical="center"/>
    </xf>
    <xf numFmtId="167" fontId="49" fillId="23" borderId="26" xfId="0" applyNumberFormat="1" applyFont="1" applyFill="1" applyBorder="1" applyAlignment="1">
      <alignment horizontal="center" vertical="center"/>
    </xf>
    <xf numFmtId="0" fontId="66" fillId="23" borderId="22" xfId="0" applyFont="1" applyFill="1" applyBorder="1" applyAlignment="1">
      <alignment horizontal="center" vertical="center"/>
    </xf>
    <xf numFmtId="0" fontId="66" fillId="23" borderId="24" xfId="0" applyFont="1" applyFill="1" applyBorder="1" applyAlignment="1">
      <alignment horizontal="center" vertical="center"/>
    </xf>
    <xf numFmtId="164" fontId="66" fillId="22" borderId="38" xfId="0" applyNumberFormat="1" applyFont="1" applyFill="1" applyBorder="1" applyAlignment="1" applyProtection="1">
      <alignment horizontal="center" vertical="center" shrinkToFit="1"/>
      <protection locked="0"/>
    </xf>
    <xf numFmtId="164" fontId="66" fillId="22" borderId="39" xfId="0" applyNumberFormat="1" applyFont="1" applyFill="1" applyBorder="1" applyAlignment="1" applyProtection="1">
      <alignment horizontal="center" vertical="center" shrinkToFit="1"/>
      <protection locked="0"/>
    </xf>
    <xf numFmtId="164" fontId="66" fillId="22" borderId="40" xfId="0" applyNumberFormat="1" applyFont="1" applyFill="1" applyBorder="1" applyAlignment="1" applyProtection="1">
      <alignment horizontal="center" vertical="center" shrinkToFit="1"/>
      <protection locked="0"/>
    </xf>
    <xf numFmtId="0" fontId="66" fillId="23" borderId="23" xfId="0" applyFont="1" applyFill="1" applyBorder="1" applyAlignment="1">
      <alignment horizontal="center" vertical="center"/>
    </xf>
    <xf numFmtId="167" fontId="49" fillId="23" borderId="22" xfId="0" applyNumberFormat="1" applyFont="1" applyFill="1" applyBorder="1" applyAlignment="1">
      <alignment horizontal="center" vertical="center"/>
    </xf>
    <xf numFmtId="167" fontId="49" fillId="23" borderId="24" xfId="0" applyNumberFormat="1" applyFont="1" applyFill="1" applyBorder="1" applyAlignment="1">
      <alignment horizontal="center" vertical="center"/>
    </xf>
    <xf numFmtId="167" fontId="49" fillId="23" borderId="23" xfId="0" applyNumberFormat="1" applyFont="1" applyFill="1" applyBorder="1" applyAlignment="1">
      <alignment horizontal="center" vertical="center"/>
    </xf>
    <xf numFmtId="0" fontId="43" fillId="27" borderId="16" xfId="0" applyFont="1" applyFill="1" applyBorder="1" applyAlignment="1">
      <alignment horizontal="center" vertical="center"/>
    </xf>
    <xf numFmtId="0" fontId="66" fillId="23" borderId="35" xfId="0" applyFont="1" applyFill="1" applyBorder="1" applyAlignment="1">
      <alignment horizontal="center" vertical="center"/>
    </xf>
    <xf numFmtId="0" fontId="66" fillId="23" borderId="36" xfId="0" applyFont="1" applyFill="1" applyBorder="1" applyAlignment="1">
      <alignment horizontal="center" vertical="center"/>
    </xf>
    <xf numFmtId="167" fontId="49" fillId="23" borderId="35" xfId="0" applyNumberFormat="1" applyFont="1" applyFill="1" applyBorder="1" applyAlignment="1">
      <alignment horizontal="center" vertical="center"/>
    </xf>
    <xf numFmtId="167" fontId="49" fillId="23" borderId="36" xfId="0" applyNumberFormat="1" applyFont="1" applyFill="1" applyBorder="1" applyAlignment="1">
      <alignment horizontal="center" vertical="center"/>
    </xf>
    <xf numFmtId="0" fontId="80" fillId="20" borderId="10" xfId="0" applyFont="1" applyFill="1" applyBorder="1" applyAlignment="1">
      <alignment horizontal="center" vertical="center"/>
    </xf>
    <xf numFmtId="167" fontId="49" fillId="23" borderId="29" xfId="0" applyNumberFormat="1" applyFont="1" applyFill="1" applyBorder="1" applyAlignment="1">
      <alignment horizontal="center" vertical="center"/>
    </xf>
    <xf numFmtId="167" fontId="49" fillId="23" borderId="30" xfId="0" applyNumberFormat="1" applyFont="1" applyFill="1" applyBorder="1" applyAlignment="1">
      <alignment horizontal="center" vertical="center"/>
    </xf>
    <xf numFmtId="0" fontId="66" fillId="23" borderId="31" xfId="0" applyFont="1" applyFill="1" applyBorder="1" applyAlignment="1">
      <alignment horizontal="center" vertical="center"/>
    </xf>
    <xf numFmtId="0" fontId="66" fillId="23" borderId="32" xfId="0" applyFont="1" applyFill="1" applyBorder="1" applyAlignment="1">
      <alignment horizontal="center" vertical="center"/>
    </xf>
    <xf numFmtId="167" fontId="49" fillId="23" borderId="31" xfId="0" applyNumberFormat="1" applyFont="1" applyFill="1" applyBorder="1" applyAlignment="1">
      <alignment horizontal="center" vertical="center"/>
    </xf>
    <xf numFmtId="167" fontId="49" fillId="23" borderId="32" xfId="0" applyNumberFormat="1" applyFont="1" applyFill="1" applyBorder="1" applyAlignment="1">
      <alignment horizontal="center" vertical="center"/>
    </xf>
    <xf numFmtId="0" fontId="66" fillId="23" borderId="29" xfId="0" applyFont="1" applyFill="1" applyBorder="1" applyAlignment="1">
      <alignment horizontal="center" vertical="center"/>
    </xf>
    <xf numFmtId="0" fontId="66" fillId="23" borderId="30" xfId="0" applyFont="1" applyFill="1" applyBorder="1" applyAlignment="1">
      <alignment horizontal="center" vertical="center"/>
    </xf>
    <xf numFmtId="0" fontId="66" fillId="23" borderId="33" xfId="0" applyFont="1" applyFill="1" applyBorder="1" applyAlignment="1">
      <alignment horizontal="center" vertical="center"/>
    </xf>
    <xf numFmtId="0" fontId="66" fillId="23" borderId="34" xfId="0" applyFont="1" applyFill="1" applyBorder="1" applyAlignment="1">
      <alignment horizontal="center" vertical="center"/>
    </xf>
    <xf numFmtId="167" fontId="49" fillId="23" borderId="33" xfId="0" applyNumberFormat="1" applyFont="1" applyFill="1" applyBorder="1" applyAlignment="1">
      <alignment horizontal="center" vertical="center"/>
    </xf>
    <xf numFmtId="167" fontId="49" fillId="23" borderId="34" xfId="0" applyNumberFormat="1" applyFont="1" applyFill="1" applyBorder="1" applyAlignment="1">
      <alignment horizontal="center" vertical="center"/>
    </xf>
    <xf numFmtId="0" fontId="66" fillId="23" borderId="27" xfId="0" applyFont="1" applyFill="1" applyBorder="1" applyAlignment="1">
      <alignment horizontal="center" vertical="center"/>
    </xf>
    <xf numFmtId="0" fontId="66" fillId="23" borderId="28" xfId="0" applyFont="1" applyFill="1" applyBorder="1" applyAlignment="1">
      <alignment horizontal="center" vertical="center"/>
    </xf>
    <xf numFmtId="167" fontId="49" fillId="23" borderId="27" xfId="0" applyNumberFormat="1" applyFont="1" applyFill="1" applyBorder="1" applyAlignment="1">
      <alignment horizontal="center" vertical="center"/>
    </xf>
    <xf numFmtId="167" fontId="49" fillId="23" borderId="28" xfId="0" applyNumberFormat="1" applyFont="1" applyFill="1" applyBorder="1" applyAlignment="1">
      <alignment horizontal="center" vertical="center"/>
    </xf>
    <xf numFmtId="0" fontId="70" fillId="0" borderId="0" xfId="0" applyFont="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theme="9" tint="-0.24994659260841701"/>
        </left>
        <right style="thin">
          <color theme="9" tint="-0.24994659260841701"/>
        </right>
        <vertical/>
        <horizontal/>
      </border>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Scroll" dx="22" fmlaLink="$I$4" horiz="1" max="100" min="1" page="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8</xdr:col>
      <xdr:colOff>180975</xdr:colOff>
      <xdr:row>4</xdr:row>
      <xdr:rowOff>234315</xdr:rowOff>
    </xdr:from>
    <xdr:to>
      <xdr:col>29</xdr:col>
      <xdr:colOff>38100</xdr:colOff>
      <xdr:row>9</xdr:row>
      <xdr:rowOff>66675</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9525</xdr:colOff>
          <xdr:row>1</xdr:row>
          <xdr:rowOff>38100</xdr:rowOff>
        </xdr:from>
        <xdr:to>
          <xdr:col>28</xdr:col>
          <xdr:colOff>95250</xdr:colOff>
          <xdr:row>1</xdr:row>
          <xdr:rowOff>228600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4648199</xdr:colOff>
      <xdr:row>0</xdr:row>
      <xdr:rowOff>0</xdr:rowOff>
    </xdr:from>
    <xdr:to>
      <xdr:col>1</xdr:col>
      <xdr:colOff>6029324</xdr:colOff>
      <xdr:row>0</xdr:row>
      <xdr:rowOff>310753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19674" y="0"/>
          <a:ext cx="1381125" cy="3107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DY91"/>
  <sheetViews>
    <sheetView showGridLines="0" tabSelected="1" zoomScaleNormal="100" workbookViewId="0">
      <pane ySplit="7" topLeftCell="A23" activePane="bottomLeft" state="frozen"/>
      <selection pane="bottomLeft" activeCell="BO34" sqref="BO34"/>
    </sheetView>
  </sheetViews>
  <sheetFormatPr defaultColWidth="9.140625" defaultRowHeight="12.75" x14ac:dyDescent="0.2"/>
  <cols>
    <col min="1" max="1" width="5.85546875" style="21" customWidth="1"/>
    <col min="2" max="2" width="21.140625" style="21" customWidth="1"/>
    <col min="3" max="3" width="7.85546875" style="21" customWidth="1"/>
    <col min="4" max="4" width="6.85546875" style="21" hidden="1" customWidth="1"/>
    <col min="5" max="6" width="12" style="21" customWidth="1"/>
    <col min="7" max="7" width="6" style="21" customWidth="1"/>
    <col min="8" max="8" width="6.7109375" style="21" customWidth="1"/>
    <col min="9" max="9" width="5.85546875" style="21" customWidth="1"/>
    <col min="10" max="10" width="1.42578125" style="21" customWidth="1"/>
    <col min="11" max="73" width="2.42578125" style="21" customWidth="1"/>
    <col min="74" max="16384" width="9.140625" style="21"/>
  </cols>
  <sheetData>
    <row r="1" spans="1:129" s="36" customFormat="1" ht="33" customHeight="1" x14ac:dyDescent="0.2">
      <c r="A1" s="103" t="s">
        <v>109</v>
      </c>
      <c r="B1" s="35"/>
      <c r="C1" s="35"/>
      <c r="D1" s="35"/>
      <c r="E1" s="35"/>
      <c r="F1" s="35"/>
      <c r="G1" s="126"/>
      <c r="K1" s="37" t="s">
        <v>41</v>
      </c>
    </row>
    <row r="2" spans="1:129" s="53" customFormat="1" ht="21" customHeight="1" x14ac:dyDescent="0.2">
      <c r="A2" s="100" t="s">
        <v>0</v>
      </c>
      <c r="B2" s="50"/>
      <c r="C2" s="50"/>
      <c r="D2" s="51"/>
      <c r="E2" s="50"/>
      <c r="F2" s="52"/>
    </row>
    <row r="3" spans="1:129" s="94" customFormat="1" ht="15.6" customHeight="1" thickBot="1" x14ac:dyDescent="0.25">
      <c r="A3" s="90"/>
      <c r="B3" s="91"/>
      <c r="C3" s="91"/>
      <c r="D3" s="92"/>
      <c r="E3" s="91"/>
      <c r="F3" s="93"/>
      <c r="K3" s="134" t="s">
        <v>96</v>
      </c>
      <c r="L3" s="135"/>
      <c r="M3" s="135"/>
      <c r="N3" s="135"/>
      <c r="O3" s="135"/>
      <c r="P3" s="135"/>
      <c r="Q3" s="135"/>
      <c r="R3" s="135"/>
      <c r="S3" s="135"/>
      <c r="T3" s="135"/>
      <c r="U3" s="135"/>
      <c r="V3" s="135"/>
      <c r="W3" s="135"/>
      <c r="X3" s="136"/>
      <c r="Y3" s="134" t="s">
        <v>100</v>
      </c>
      <c r="Z3" s="135"/>
      <c r="AA3" s="135"/>
      <c r="AB3" s="135"/>
      <c r="AC3" s="135"/>
      <c r="AD3" s="135"/>
      <c r="AE3" s="136"/>
      <c r="AF3" s="134" t="s">
        <v>97</v>
      </c>
      <c r="AG3" s="135"/>
      <c r="AH3" s="135"/>
      <c r="AI3" s="135"/>
      <c r="AJ3" s="135"/>
      <c r="AK3" s="135"/>
      <c r="AL3" s="135"/>
      <c r="AM3" s="135"/>
      <c r="AN3" s="135"/>
      <c r="AO3" s="135"/>
      <c r="AP3" s="135"/>
      <c r="AQ3" s="135"/>
      <c r="AR3" s="135"/>
      <c r="AS3" s="136"/>
      <c r="AT3" s="134" t="s">
        <v>98</v>
      </c>
      <c r="AU3" s="135"/>
      <c r="AV3" s="135"/>
      <c r="AW3" s="135"/>
      <c r="AX3" s="135"/>
      <c r="AY3" s="135"/>
      <c r="AZ3" s="135"/>
      <c r="BA3" s="135"/>
      <c r="BB3" s="135"/>
      <c r="BC3" s="135"/>
      <c r="BD3" s="135"/>
      <c r="BE3" s="135"/>
      <c r="BF3" s="135"/>
      <c r="BG3" s="136"/>
      <c r="BH3" s="134" t="s">
        <v>99</v>
      </c>
      <c r="BI3" s="135"/>
      <c r="BJ3" s="135"/>
      <c r="BK3" s="135"/>
      <c r="BL3" s="135"/>
      <c r="BM3" s="135"/>
      <c r="BN3" s="135"/>
      <c r="BO3" s="135"/>
      <c r="BP3" s="135"/>
      <c r="BQ3" s="135"/>
      <c r="BR3" s="135"/>
      <c r="BS3" s="135"/>
      <c r="BT3" s="135"/>
      <c r="BU3" s="136"/>
    </row>
    <row r="4" spans="1:129" s="98" customFormat="1" ht="19.5" customHeight="1" thickBot="1" x14ac:dyDescent="0.25">
      <c r="B4" s="101" t="s">
        <v>94</v>
      </c>
      <c r="C4" s="146">
        <v>46052</v>
      </c>
      <c r="D4" s="147"/>
      <c r="E4" s="148"/>
      <c r="H4" s="101" t="s">
        <v>40</v>
      </c>
      <c r="I4" s="102">
        <v>1</v>
      </c>
      <c r="K4" s="144" t="str">
        <f>"Week "&amp;(K6-($C$4-WEEKDAY($C$4,1)+2))/7+1</f>
        <v>Week 1</v>
      </c>
      <c r="L4" s="139"/>
      <c r="M4" s="139"/>
      <c r="N4" s="139"/>
      <c r="O4" s="139"/>
      <c r="P4" s="139"/>
      <c r="Q4" s="149"/>
      <c r="R4" s="144" t="str">
        <f>"Week "&amp;(R6-($C$4-WEEKDAY($C$4,1)+2))/7+1</f>
        <v>Week 2</v>
      </c>
      <c r="S4" s="139"/>
      <c r="T4" s="139"/>
      <c r="U4" s="139"/>
      <c r="V4" s="139"/>
      <c r="W4" s="139"/>
      <c r="X4" s="145"/>
      <c r="Y4" s="138" t="str">
        <f>"Week "&amp;(Y6-($C$4-WEEKDAY($C$4,1)+2))/7+1</f>
        <v>Week 3</v>
      </c>
      <c r="Z4" s="139"/>
      <c r="AA4" s="139"/>
      <c r="AB4" s="139"/>
      <c r="AC4" s="139"/>
      <c r="AD4" s="139"/>
      <c r="AE4" s="140"/>
      <c r="AF4" s="171" t="str">
        <f>"Week "&amp;(AF6-($C$4-WEEKDAY($C$4,1)+2))/7+1</f>
        <v>Week 4</v>
      </c>
      <c r="AG4" s="139"/>
      <c r="AH4" s="139"/>
      <c r="AI4" s="139"/>
      <c r="AJ4" s="139"/>
      <c r="AK4" s="139"/>
      <c r="AL4" s="172"/>
      <c r="AM4" s="165" t="str">
        <f>"Week "&amp;(AM6-($C$4-WEEKDAY($C$4,1)+2))/7+1</f>
        <v>Week 5</v>
      </c>
      <c r="AN4" s="139"/>
      <c r="AO4" s="139"/>
      <c r="AP4" s="139"/>
      <c r="AQ4" s="139"/>
      <c r="AR4" s="139"/>
      <c r="AS4" s="166"/>
      <c r="AT4" s="161" t="str">
        <f>"Week "&amp;(AT6-($C$4-WEEKDAY($C$4,1)+2))/7+1</f>
        <v>Week 6</v>
      </c>
      <c r="AU4" s="139"/>
      <c r="AV4" s="139"/>
      <c r="AW4" s="139"/>
      <c r="AX4" s="139"/>
      <c r="AY4" s="139"/>
      <c r="AZ4" s="162"/>
      <c r="BA4" s="167" t="str">
        <f>"Week "&amp;(BA6-($C$4-WEEKDAY($C$4,1)+2))/7+1</f>
        <v>Week 7</v>
      </c>
      <c r="BB4" s="139"/>
      <c r="BC4" s="139"/>
      <c r="BD4" s="139"/>
      <c r="BE4" s="139"/>
      <c r="BF4" s="139"/>
      <c r="BG4" s="168"/>
      <c r="BH4" s="154" t="str">
        <f>"Week "&amp;(BH6-($C$4-WEEKDAY($C$4,1)+2))/7+1</f>
        <v>Week 8</v>
      </c>
      <c r="BI4" s="139"/>
      <c r="BJ4" s="139"/>
      <c r="BK4" s="139"/>
      <c r="BL4" s="139"/>
      <c r="BM4" s="139"/>
      <c r="BN4" s="155"/>
      <c r="BO4" s="154" t="str">
        <f>"Week "&amp;(BO6-($C$4-WEEKDAY($C$4,1)+2))/7+1</f>
        <v>Week 9</v>
      </c>
      <c r="BP4" s="139"/>
      <c r="BQ4" s="139"/>
      <c r="BR4" s="139"/>
      <c r="BS4" s="139"/>
      <c r="BT4" s="139"/>
      <c r="BU4" s="155"/>
    </row>
    <row r="5" spans="1:129" s="49" customFormat="1" ht="19.5" customHeight="1" thickBot="1" x14ac:dyDescent="0.25">
      <c r="A5" s="99"/>
      <c r="B5" s="101" t="s">
        <v>42</v>
      </c>
      <c r="C5" s="146" t="s">
        <v>108</v>
      </c>
      <c r="D5" s="147"/>
      <c r="E5" s="148"/>
      <c r="F5" s="99"/>
      <c r="G5" s="99"/>
      <c r="H5" s="99"/>
      <c r="I5" s="99"/>
      <c r="K5" s="150">
        <f>K6</f>
        <v>46048</v>
      </c>
      <c r="L5" s="142"/>
      <c r="M5" s="142"/>
      <c r="N5" s="142"/>
      <c r="O5" s="142"/>
      <c r="P5" s="142"/>
      <c r="Q5" s="152"/>
      <c r="R5" s="150">
        <f>R6</f>
        <v>46055</v>
      </c>
      <c r="S5" s="142"/>
      <c r="T5" s="142"/>
      <c r="U5" s="142"/>
      <c r="V5" s="142"/>
      <c r="W5" s="142"/>
      <c r="X5" s="151"/>
      <c r="Y5" s="141">
        <f>Y6</f>
        <v>46062</v>
      </c>
      <c r="Z5" s="142"/>
      <c r="AA5" s="142"/>
      <c r="AB5" s="142"/>
      <c r="AC5" s="142"/>
      <c r="AD5" s="142"/>
      <c r="AE5" s="143"/>
      <c r="AF5" s="173">
        <f>AF6</f>
        <v>46069</v>
      </c>
      <c r="AG5" s="142"/>
      <c r="AH5" s="142"/>
      <c r="AI5" s="142"/>
      <c r="AJ5" s="142"/>
      <c r="AK5" s="142"/>
      <c r="AL5" s="174"/>
      <c r="AM5" s="159">
        <f>AM6</f>
        <v>46076</v>
      </c>
      <c r="AN5" s="142"/>
      <c r="AO5" s="142"/>
      <c r="AP5" s="142"/>
      <c r="AQ5" s="142"/>
      <c r="AR5" s="142"/>
      <c r="AS5" s="160"/>
      <c r="AT5" s="163">
        <f>AT6</f>
        <v>46083</v>
      </c>
      <c r="AU5" s="142"/>
      <c r="AV5" s="142"/>
      <c r="AW5" s="142"/>
      <c r="AX5" s="142"/>
      <c r="AY5" s="142"/>
      <c r="AZ5" s="164"/>
      <c r="BA5" s="169">
        <f>BA6</f>
        <v>46090</v>
      </c>
      <c r="BB5" s="142"/>
      <c r="BC5" s="142"/>
      <c r="BD5" s="142"/>
      <c r="BE5" s="142"/>
      <c r="BF5" s="142"/>
      <c r="BG5" s="170"/>
      <c r="BH5" s="156">
        <f>BH6</f>
        <v>46097</v>
      </c>
      <c r="BI5" s="142"/>
      <c r="BJ5" s="142"/>
      <c r="BK5" s="142"/>
      <c r="BL5" s="142"/>
      <c r="BM5" s="142"/>
      <c r="BN5" s="157"/>
      <c r="BO5" s="156">
        <f>BO6</f>
        <v>46104</v>
      </c>
      <c r="BP5" s="142"/>
      <c r="BQ5" s="142"/>
      <c r="BR5" s="142"/>
      <c r="BS5" s="142"/>
      <c r="BT5" s="142"/>
      <c r="BU5" s="157"/>
    </row>
    <row r="6" spans="1:129" s="47" customFormat="1" ht="14.25" customHeight="1" x14ac:dyDescent="0.2">
      <c r="K6" s="58">
        <f>C4-WEEKDAY(C4,1)+2+7*(I4-1)</f>
        <v>46048</v>
      </c>
      <c r="L6" s="48">
        <f t="shared" ref="L6:AQ6" si="0">K6+1</f>
        <v>46049</v>
      </c>
      <c r="M6" s="48">
        <f t="shared" si="0"/>
        <v>46050</v>
      </c>
      <c r="N6" s="48">
        <f t="shared" si="0"/>
        <v>46051</v>
      </c>
      <c r="O6" s="48">
        <f t="shared" si="0"/>
        <v>46052</v>
      </c>
      <c r="P6" s="48">
        <f t="shared" si="0"/>
        <v>46053</v>
      </c>
      <c r="Q6" s="59">
        <f t="shared" si="0"/>
        <v>46054</v>
      </c>
      <c r="R6" s="58">
        <f t="shared" si="0"/>
        <v>46055</v>
      </c>
      <c r="S6" s="48">
        <f t="shared" si="0"/>
        <v>46056</v>
      </c>
      <c r="T6" s="48">
        <f t="shared" si="0"/>
        <v>46057</v>
      </c>
      <c r="U6" s="48">
        <f t="shared" ref="U6" si="1">T6+1</f>
        <v>46058</v>
      </c>
      <c r="V6" s="48">
        <f t="shared" ref="V6" si="2">U6+1</f>
        <v>46059</v>
      </c>
      <c r="W6" s="48">
        <f t="shared" ref="W6" si="3">V6+1</f>
        <v>46060</v>
      </c>
      <c r="X6" s="60">
        <f t="shared" si="0"/>
        <v>46061</v>
      </c>
      <c r="Y6" s="61">
        <f t="shared" si="0"/>
        <v>46062</v>
      </c>
      <c r="Z6" s="48">
        <f t="shared" si="0"/>
        <v>46063</v>
      </c>
      <c r="AA6" s="48">
        <f t="shared" si="0"/>
        <v>46064</v>
      </c>
      <c r="AB6" s="48">
        <f t="shared" si="0"/>
        <v>46065</v>
      </c>
      <c r="AC6" s="48">
        <f t="shared" si="0"/>
        <v>46066</v>
      </c>
      <c r="AD6" s="48">
        <f t="shared" si="0"/>
        <v>46067</v>
      </c>
      <c r="AE6" s="62">
        <f t="shared" si="0"/>
        <v>46068</v>
      </c>
      <c r="AF6" s="63">
        <f t="shared" si="0"/>
        <v>46069</v>
      </c>
      <c r="AG6" s="48">
        <f t="shared" si="0"/>
        <v>46070</v>
      </c>
      <c r="AH6" s="48">
        <f t="shared" si="0"/>
        <v>46071</v>
      </c>
      <c r="AI6" s="48">
        <f t="shared" si="0"/>
        <v>46072</v>
      </c>
      <c r="AJ6" s="48">
        <f t="shared" si="0"/>
        <v>46073</v>
      </c>
      <c r="AK6" s="48">
        <f t="shared" si="0"/>
        <v>46074</v>
      </c>
      <c r="AL6" s="64">
        <f t="shared" si="0"/>
        <v>46075</v>
      </c>
      <c r="AM6" s="65">
        <f t="shared" si="0"/>
        <v>46076</v>
      </c>
      <c r="AN6" s="132">
        <f t="shared" si="0"/>
        <v>46077</v>
      </c>
      <c r="AO6" s="48">
        <f t="shared" si="0"/>
        <v>46078</v>
      </c>
      <c r="AP6" s="48">
        <f t="shared" si="0"/>
        <v>46079</v>
      </c>
      <c r="AQ6" s="48">
        <f t="shared" si="0"/>
        <v>46080</v>
      </c>
      <c r="AR6" s="48">
        <f t="shared" ref="AR6:BN6" si="4">AQ6+1</f>
        <v>46081</v>
      </c>
      <c r="AS6" s="66">
        <f t="shared" si="4"/>
        <v>46082</v>
      </c>
      <c r="AT6" s="67">
        <f t="shared" si="4"/>
        <v>46083</v>
      </c>
      <c r="AU6" s="48">
        <f t="shared" si="4"/>
        <v>46084</v>
      </c>
      <c r="AV6" s="48">
        <f t="shared" si="4"/>
        <v>46085</v>
      </c>
      <c r="AW6" s="48">
        <f t="shared" si="4"/>
        <v>46086</v>
      </c>
      <c r="AX6" s="48">
        <f t="shared" si="4"/>
        <v>46087</v>
      </c>
      <c r="AY6" s="48">
        <f t="shared" si="4"/>
        <v>46088</v>
      </c>
      <c r="AZ6" s="68">
        <f t="shared" si="4"/>
        <v>46089</v>
      </c>
      <c r="BA6" s="69">
        <f t="shared" si="4"/>
        <v>46090</v>
      </c>
      <c r="BB6" s="48">
        <f t="shared" si="4"/>
        <v>46091</v>
      </c>
      <c r="BC6" s="48">
        <f t="shared" si="4"/>
        <v>46092</v>
      </c>
      <c r="BD6" s="48">
        <f t="shared" si="4"/>
        <v>46093</v>
      </c>
      <c r="BE6" s="48">
        <f t="shared" si="4"/>
        <v>46094</v>
      </c>
      <c r="BF6" s="48">
        <f t="shared" si="4"/>
        <v>46095</v>
      </c>
      <c r="BG6" s="70">
        <f t="shared" si="4"/>
        <v>46096</v>
      </c>
      <c r="BH6" s="71">
        <f t="shared" si="4"/>
        <v>46097</v>
      </c>
      <c r="BI6" s="132">
        <f t="shared" si="4"/>
        <v>46098</v>
      </c>
      <c r="BJ6" s="48">
        <f t="shared" si="4"/>
        <v>46099</v>
      </c>
      <c r="BK6" s="48">
        <f t="shared" si="4"/>
        <v>46100</v>
      </c>
      <c r="BL6" s="48">
        <f t="shared" si="4"/>
        <v>46101</v>
      </c>
      <c r="BM6" s="48">
        <f t="shared" si="4"/>
        <v>46102</v>
      </c>
      <c r="BN6" s="72">
        <f t="shared" si="4"/>
        <v>46103</v>
      </c>
      <c r="BO6" s="71">
        <f t="shared" ref="BO6" si="5">BN6+1</f>
        <v>46104</v>
      </c>
      <c r="BP6" s="48">
        <f t="shared" ref="BP6" si="6">BO6+1</f>
        <v>46105</v>
      </c>
      <c r="BQ6" s="48">
        <f t="shared" ref="BQ6" si="7">BP6+1</f>
        <v>46106</v>
      </c>
      <c r="BR6" s="48">
        <f t="shared" ref="BR6" si="8">BQ6+1</f>
        <v>46107</v>
      </c>
      <c r="BS6" s="48">
        <f t="shared" ref="BS6" si="9">BR6+1</f>
        <v>46108</v>
      </c>
      <c r="BT6" s="48">
        <f t="shared" ref="BT6" si="10">BS6+1</f>
        <v>46109</v>
      </c>
      <c r="BU6" s="72">
        <f t="shared" ref="BU6" si="11">BT6+1</f>
        <v>46110</v>
      </c>
    </row>
    <row r="7" spans="1:129" s="46" customFormat="1" ht="30" customHeight="1" thickBot="1" x14ac:dyDescent="0.25">
      <c r="A7" s="41" t="s">
        <v>1</v>
      </c>
      <c r="B7" s="41" t="s">
        <v>34</v>
      </c>
      <c r="C7" s="42" t="s">
        <v>35</v>
      </c>
      <c r="D7" s="42" t="s">
        <v>39</v>
      </c>
      <c r="E7" s="43" t="s">
        <v>36</v>
      </c>
      <c r="F7" s="43" t="s">
        <v>37</v>
      </c>
      <c r="G7" s="42" t="s">
        <v>101</v>
      </c>
      <c r="H7" s="42" t="s">
        <v>107</v>
      </c>
      <c r="I7" s="76" t="s">
        <v>38</v>
      </c>
      <c r="J7" s="40"/>
      <c r="K7" s="55" t="str">
        <f t="shared" ref="K7:AP7" si="12">CHOOSE(WEEKDAY(K6,1),"S","M","T","W","T","F","S")</f>
        <v>M</v>
      </c>
      <c r="L7" s="44" t="str">
        <f t="shared" si="12"/>
        <v>T</v>
      </c>
      <c r="M7" s="44" t="str">
        <f t="shared" si="12"/>
        <v>W</v>
      </c>
      <c r="N7" s="44" t="str">
        <f t="shared" si="12"/>
        <v>T</v>
      </c>
      <c r="O7" s="44" t="str">
        <f t="shared" si="12"/>
        <v>F</v>
      </c>
      <c r="P7" s="44" t="str">
        <f t="shared" si="12"/>
        <v>S</v>
      </c>
      <c r="Q7" s="56" t="str">
        <f t="shared" si="12"/>
        <v>S</v>
      </c>
      <c r="R7" s="55" t="str">
        <f t="shared" si="12"/>
        <v>M</v>
      </c>
      <c r="S7" s="44" t="str">
        <f t="shared" si="12"/>
        <v>T</v>
      </c>
      <c r="T7" s="44" t="str">
        <f t="shared" si="12"/>
        <v>W</v>
      </c>
      <c r="U7" s="44" t="str">
        <f t="shared" ref="U7:W7" si="13">CHOOSE(WEEKDAY(U6,1),"S","M","T","W","T","F","S")</f>
        <v>T</v>
      </c>
      <c r="V7" s="44" t="str">
        <f t="shared" si="13"/>
        <v>F</v>
      </c>
      <c r="W7" s="44" t="str">
        <f t="shared" si="13"/>
        <v>S</v>
      </c>
      <c r="X7" s="56" t="str">
        <f t="shared" si="12"/>
        <v>S</v>
      </c>
      <c r="Y7" s="54" t="str">
        <f t="shared" si="12"/>
        <v>M</v>
      </c>
      <c r="Z7" s="44" t="str">
        <f t="shared" si="12"/>
        <v>T</v>
      </c>
      <c r="AA7" s="44" t="str">
        <f t="shared" si="12"/>
        <v>W</v>
      </c>
      <c r="AB7" s="44" t="str">
        <f t="shared" si="12"/>
        <v>T</v>
      </c>
      <c r="AC7" s="44" t="str">
        <f t="shared" si="12"/>
        <v>F</v>
      </c>
      <c r="AD7" s="44" t="str">
        <f t="shared" si="12"/>
        <v>S</v>
      </c>
      <c r="AE7" s="57" t="str">
        <f t="shared" si="12"/>
        <v>S</v>
      </c>
      <c r="AF7" s="55" t="str">
        <f t="shared" si="12"/>
        <v>M</v>
      </c>
      <c r="AG7" s="44" t="str">
        <f t="shared" si="12"/>
        <v>T</v>
      </c>
      <c r="AH7" s="44" t="str">
        <f t="shared" si="12"/>
        <v>W</v>
      </c>
      <c r="AI7" s="44" t="str">
        <f t="shared" si="12"/>
        <v>T</v>
      </c>
      <c r="AJ7" s="44" t="str">
        <f t="shared" si="12"/>
        <v>F</v>
      </c>
      <c r="AK7" s="44" t="str">
        <f t="shared" si="12"/>
        <v>S</v>
      </c>
      <c r="AL7" s="56" t="str">
        <f t="shared" si="12"/>
        <v>S</v>
      </c>
      <c r="AM7" s="55" t="str">
        <f t="shared" si="12"/>
        <v>M</v>
      </c>
      <c r="AN7" s="44" t="str">
        <f t="shared" si="12"/>
        <v>T</v>
      </c>
      <c r="AO7" s="44" t="str">
        <f t="shared" si="12"/>
        <v>W</v>
      </c>
      <c r="AP7" s="44" t="str">
        <f t="shared" si="12"/>
        <v>T</v>
      </c>
      <c r="AQ7" s="44" t="str">
        <f t="shared" ref="AQ7:BN7" si="14">CHOOSE(WEEKDAY(AQ6,1),"S","M","T","W","T","F","S")</f>
        <v>F</v>
      </c>
      <c r="AR7" s="44" t="str">
        <f t="shared" si="14"/>
        <v>S</v>
      </c>
      <c r="AS7" s="56" t="str">
        <f t="shared" si="14"/>
        <v>S</v>
      </c>
      <c r="AT7" s="55" t="str">
        <f t="shared" si="14"/>
        <v>M</v>
      </c>
      <c r="AU7" s="44" t="str">
        <f t="shared" si="14"/>
        <v>T</v>
      </c>
      <c r="AV7" s="44" t="str">
        <f t="shared" si="14"/>
        <v>W</v>
      </c>
      <c r="AW7" s="44" t="str">
        <f t="shared" si="14"/>
        <v>T</v>
      </c>
      <c r="AX7" s="44" t="str">
        <f t="shared" si="14"/>
        <v>F</v>
      </c>
      <c r="AY7" s="44" t="str">
        <f t="shared" si="14"/>
        <v>S</v>
      </c>
      <c r="AZ7" s="56" t="str">
        <f t="shared" si="14"/>
        <v>S</v>
      </c>
      <c r="BA7" s="55" t="str">
        <f t="shared" si="14"/>
        <v>M</v>
      </c>
      <c r="BB7" s="44" t="str">
        <f t="shared" si="14"/>
        <v>T</v>
      </c>
      <c r="BC7" s="44" t="str">
        <f t="shared" si="14"/>
        <v>W</v>
      </c>
      <c r="BD7" s="44" t="str">
        <f t="shared" si="14"/>
        <v>T</v>
      </c>
      <c r="BE7" s="44" t="str">
        <f t="shared" si="14"/>
        <v>F</v>
      </c>
      <c r="BF7" s="44" t="str">
        <f t="shared" si="14"/>
        <v>S</v>
      </c>
      <c r="BG7" s="56" t="str">
        <f t="shared" si="14"/>
        <v>S</v>
      </c>
      <c r="BH7" s="55" t="str">
        <f t="shared" si="14"/>
        <v>M</v>
      </c>
      <c r="BI7" s="44" t="str">
        <f t="shared" si="14"/>
        <v>T</v>
      </c>
      <c r="BJ7" s="44" t="str">
        <f t="shared" si="14"/>
        <v>W</v>
      </c>
      <c r="BK7" s="44" t="str">
        <f t="shared" si="14"/>
        <v>T</v>
      </c>
      <c r="BL7" s="44" t="str">
        <f t="shared" si="14"/>
        <v>F</v>
      </c>
      <c r="BM7" s="44" t="str">
        <f t="shared" si="14"/>
        <v>S</v>
      </c>
      <c r="BN7" s="56" t="str">
        <f t="shared" si="14"/>
        <v>S</v>
      </c>
      <c r="BO7" s="55" t="str">
        <f t="shared" ref="BO7:BU7" si="15">CHOOSE(WEEKDAY(BO6,1),"S","M","T","W","T","F","S")</f>
        <v>M</v>
      </c>
      <c r="BP7" s="44" t="str">
        <f t="shared" si="15"/>
        <v>T</v>
      </c>
      <c r="BQ7" s="44" t="str">
        <f t="shared" si="15"/>
        <v>W</v>
      </c>
      <c r="BR7" s="44" t="str">
        <f t="shared" si="15"/>
        <v>T</v>
      </c>
      <c r="BS7" s="44" t="str">
        <f t="shared" si="15"/>
        <v>F</v>
      </c>
      <c r="BT7" s="44" t="str">
        <f t="shared" si="15"/>
        <v>S</v>
      </c>
      <c r="BU7" s="56" t="str">
        <f t="shared" si="15"/>
        <v>S</v>
      </c>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row>
    <row r="8" spans="1:129" s="22" customFormat="1" ht="18.75" thickTop="1" x14ac:dyDescent="0.2">
      <c r="A8" s="84" t="str">
        <f>IF(ISERROR(VALUE(SUBSTITUTE(prevWBS,".",""))),"1",IF(ISERROR(FIND("`",SUBSTITUTE(prevWBS,".","`",1))),TEXT(VALUE(prevWBS)+1,"#"),TEXT(VALUE(LEFT(prevWBS,FIND("`",SUBSTITUTE(prevWBS,".","`",1))-1))+1,"#")))</f>
        <v>1</v>
      </c>
      <c r="B8" s="73" t="s">
        <v>119</v>
      </c>
      <c r="C8" s="22" t="s">
        <v>111</v>
      </c>
      <c r="D8" s="23"/>
      <c r="E8" s="24"/>
      <c r="F8" s="24"/>
      <c r="G8" s="25"/>
      <c r="H8" s="26"/>
      <c r="I8" s="97"/>
      <c r="J8" s="87"/>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row>
    <row r="9" spans="1:129" s="28" customFormat="1" ht="18" x14ac:dyDescent="0.2">
      <c r="A9" s="85" t="str">
        <f t="shared" ref="A9:A15" si="1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1" t="s">
        <v>112</v>
      </c>
      <c r="C9" s="82"/>
      <c r="D9" s="83"/>
      <c r="E9" s="80">
        <v>43129</v>
      </c>
      <c r="F9" s="77">
        <f t="shared" ref="F9:F15" si="17">IF(ISBLANK(E9)," - ",IF(G9=0,E9,E9+G9-1))</f>
        <v>43129</v>
      </c>
      <c r="G9" s="38">
        <v>1</v>
      </c>
      <c r="H9" s="39">
        <v>0</v>
      </c>
      <c r="I9" s="95">
        <f>IF(OR(F9=0,E9=0),0,NETWORKDAYS(E9,F9))</f>
        <v>1</v>
      </c>
      <c r="J9" s="88"/>
      <c r="K9" s="30"/>
      <c r="L9" s="30"/>
      <c r="M9" s="30"/>
      <c r="N9" s="30"/>
      <c r="O9" s="30"/>
      <c r="P9" s="30"/>
      <c r="Q9" s="30"/>
      <c r="R9" s="30"/>
      <c r="S9" s="30"/>
      <c r="T9" s="30"/>
      <c r="U9" s="30"/>
      <c r="V9" s="30"/>
      <c r="W9" s="30"/>
      <c r="X9" s="30"/>
      <c r="Y9" s="1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row>
    <row r="10" spans="1:129" s="28" customFormat="1" ht="24" x14ac:dyDescent="0.2">
      <c r="A10" s="85" t="str">
        <f t="shared" si="16"/>
        <v>1.2</v>
      </c>
      <c r="B10" s="81" t="s">
        <v>113</v>
      </c>
      <c r="C10" s="82"/>
      <c r="D10" s="83"/>
      <c r="E10" s="80">
        <v>43134</v>
      </c>
      <c r="F10" s="77">
        <f>IF(ISBLANK(E10)," - ",IF(G10=0,E10,E10+G10-1))</f>
        <v>43135</v>
      </c>
      <c r="G10" s="38">
        <v>2</v>
      </c>
      <c r="H10" s="39">
        <v>0</v>
      </c>
      <c r="I10" s="95">
        <f t="shared" ref="I10:I15" si="18">IF(OR(F10=0,E10=0),0,NETWORKDAYS(E10,F10))</f>
        <v>0</v>
      </c>
      <c r="J10" s="88"/>
      <c r="K10" s="30"/>
      <c r="L10" s="30"/>
      <c r="M10" s="30"/>
      <c r="N10" s="30"/>
      <c r="O10" s="30"/>
      <c r="P10" s="30"/>
      <c r="Q10" s="30"/>
      <c r="R10" s="30"/>
      <c r="S10" s="30"/>
      <c r="T10" s="30"/>
      <c r="U10" s="30"/>
      <c r="V10" s="30"/>
      <c r="W10" s="30"/>
      <c r="X10" s="30"/>
      <c r="Y10" s="1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row>
    <row r="11" spans="1:129" s="28" customFormat="1" ht="18" x14ac:dyDescent="0.2">
      <c r="A11" s="85" t="str">
        <f t="shared" si="16"/>
        <v>1.3</v>
      </c>
      <c r="B11" s="81" t="s">
        <v>114</v>
      </c>
      <c r="C11" s="82"/>
      <c r="D11" s="83"/>
      <c r="E11" s="80">
        <v>43139</v>
      </c>
      <c r="F11" s="77">
        <f t="shared" si="17"/>
        <v>43140</v>
      </c>
      <c r="G11" s="38">
        <v>2</v>
      </c>
      <c r="H11" s="39">
        <v>0</v>
      </c>
      <c r="I11" s="95">
        <f t="shared" si="18"/>
        <v>2</v>
      </c>
      <c r="J11" s="88"/>
      <c r="K11" s="30"/>
      <c r="L11" s="30"/>
      <c r="M11" s="30"/>
      <c r="N11" s="30"/>
      <c r="O11" s="30"/>
      <c r="P11" s="30"/>
      <c r="Q11" s="30"/>
      <c r="R11" s="30"/>
      <c r="S11" s="30"/>
      <c r="T11" s="30"/>
      <c r="U11" s="30"/>
      <c r="V11" s="30"/>
      <c r="W11" s="30"/>
      <c r="X11" s="30"/>
      <c r="Y11" s="1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row>
    <row r="12" spans="1:129" s="28" customFormat="1" ht="24" x14ac:dyDescent="0.2">
      <c r="A12" s="85" t="str">
        <f t="shared" si="16"/>
        <v>1.4</v>
      </c>
      <c r="B12" s="81" t="s">
        <v>115</v>
      </c>
      <c r="C12" s="82"/>
      <c r="D12" s="83"/>
      <c r="E12" s="80">
        <v>43132</v>
      </c>
      <c r="F12" s="77">
        <f t="shared" si="17"/>
        <v>43133</v>
      </c>
      <c r="G12" s="38">
        <v>2</v>
      </c>
      <c r="H12" s="39">
        <v>0</v>
      </c>
      <c r="I12" s="95">
        <f t="shared" si="18"/>
        <v>2</v>
      </c>
      <c r="J12" s="88"/>
      <c r="K12" s="30"/>
      <c r="L12" s="30"/>
      <c r="M12" s="30"/>
      <c r="N12" s="30"/>
      <c r="O12" s="30"/>
      <c r="P12" s="30"/>
      <c r="Q12" s="30"/>
      <c r="R12" s="30"/>
      <c r="S12" s="30"/>
      <c r="T12" s="30"/>
      <c r="U12" s="30"/>
      <c r="V12" s="30"/>
      <c r="W12" s="30"/>
      <c r="X12" s="30"/>
      <c r="Y12" s="30"/>
      <c r="Z12" s="1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row>
    <row r="13" spans="1:129" s="28" customFormat="1" ht="18" x14ac:dyDescent="0.2">
      <c r="A13" s="85" t="str">
        <f t="shared" si="16"/>
        <v>1.5</v>
      </c>
      <c r="B13" s="81" t="s">
        <v>116</v>
      </c>
      <c r="C13" s="82"/>
      <c r="D13" s="83"/>
      <c r="E13" s="80">
        <v>43136</v>
      </c>
      <c r="F13" s="77">
        <f t="shared" si="17"/>
        <v>43137</v>
      </c>
      <c r="G13" s="38">
        <v>2</v>
      </c>
      <c r="H13" s="39">
        <v>0</v>
      </c>
      <c r="I13" s="95">
        <f t="shared" si="18"/>
        <v>2</v>
      </c>
      <c r="J13" s="88"/>
      <c r="K13" s="30"/>
      <c r="L13" s="30"/>
      <c r="M13" s="30"/>
      <c r="N13" s="30"/>
      <c r="O13" s="30"/>
      <c r="P13" s="30"/>
      <c r="Q13" s="30"/>
      <c r="R13" s="30"/>
      <c r="S13" s="30"/>
      <c r="T13" s="30"/>
      <c r="U13" s="30"/>
      <c r="V13" s="30"/>
      <c r="W13" s="30"/>
      <c r="X13" s="30"/>
      <c r="Y13" s="30"/>
      <c r="Z13" s="1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row>
    <row r="14" spans="1:129" s="28" customFormat="1" ht="24" x14ac:dyDescent="0.2">
      <c r="A14" s="85" t="str">
        <f t="shared" si="16"/>
        <v>1.6</v>
      </c>
      <c r="B14" s="81" t="s">
        <v>117</v>
      </c>
      <c r="C14" s="82"/>
      <c r="D14" s="83"/>
      <c r="E14" s="80">
        <v>43134</v>
      </c>
      <c r="F14" s="77">
        <f t="shared" si="17"/>
        <v>43135</v>
      </c>
      <c r="G14" s="38">
        <v>2</v>
      </c>
      <c r="H14" s="39">
        <v>0</v>
      </c>
      <c r="I14" s="95">
        <f t="shared" si="18"/>
        <v>0</v>
      </c>
      <c r="J14" s="88"/>
      <c r="K14" s="30"/>
      <c r="L14" s="30"/>
      <c r="M14" s="30"/>
      <c r="N14" s="30"/>
      <c r="O14" s="30"/>
      <c r="P14" s="30"/>
      <c r="Q14" s="30"/>
      <c r="R14" s="30"/>
      <c r="S14" s="30"/>
      <c r="T14" s="30"/>
      <c r="U14" s="30"/>
      <c r="V14" s="30"/>
      <c r="W14" s="30"/>
      <c r="X14" s="30"/>
      <c r="Y14" s="30"/>
      <c r="Z14" s="1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row>
    <row r="15" spans="1:129" s="28" customFormat="1" ht="24" x14ac:dyDescent="0.2">
      <c r="A15" s="85" t="str">
        <f t="shared" si="16"/>
        <v>1.7</v>
      </c>
      <c r="B15" s="81" t="s">
        <v>118</v>
      </c>
      <c r="C15" s="82"/>
      <c r="D15" s="83"/>
      <c r="E15" s="80">
        <v>43141</v>
      </c>
      <c r="F15" s="77">
        <f t="shared" si="17"/>
        <v>43142</v>
      </c>
      <c r="G15" s="38">
        <v>2</v>
      </c>
      <c r="H15" s="39">
        <v>0</v>
      </c>
      <c r="I15" s="95">
        <f t="shared" si="18"/>
        <v>0</v>
      </c>
      <c r="J15" s="88"/>
      <c r="K15" s="30"/>
      <c r="L15" s="30"/>
      <c r="M15" s="30"/>
      <c r="N15" s="30"/>
      <c r="O15" s="30"/>
      <c r="P15" s="30"/>
      <c r="Q15" s="30"/>
      <c r="R15" s="30"/>
      <c r="S15" s="30"/>
      <c r="T15" s="30"/>
      <c r="U15" s="30"/>
      <c r="V15" s="30"/>
      <c r="W15" s="30"/>
      <c r="X15" s="30"/>
      <c r="Y15" s="30"/>
      <c r="Z15" s="1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row>
    <row r="16" spans="1:129" s="27" customFormat="1" ht="18" x14ac:dyDescent="0.2">
      <c r="A16" s="86" t="str">
        <f>IF(ISERROR(VALUE(SUBSTITUTE(prevWBS,".",""))),"1",IF(ISERROR(FIND("`",SUBSTITUTE(prevWBS,".","`",1))),TEXT(VALUE(prevWBS)+1,"#"),TEXT(VALUE(LEFT(prevWBS,FIND("`",SUBSTITUTE(prevWBS,".","`",1))-1))+1,"#")))</f>
        <v>2</v>
      </c>
      <c r="B16" s="73" t="s">
        <v>132</v>
      </c>
      <c r="D16" s="32"/>
      <c r="E16" s="74"/>
      <c r="F16" s="75"/>
      <c r="G16" s="33"/>
      <c r="H16" s="34"/>
      <c r="I16" s="96"/>
      <c r="J16" s="89"/>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row>
    <row r="17" spans="1:73" s="28" customFormat="1" ht="24" x14ac:dyDescent="0.2">
      <c r="A17" s="85" t="str">
        <f t="shared" ref="A17:A25" si="1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7" s="31" t="s">
        <v>122</v>
      </c>
      <c r="D17" s="29"/>
      <c r="E17" s="80">
        <v>43141</v>
      </c>
      <c r="F17" s="77">
        <f t="shared" ref="F17:F22" si="20">IF(ISBLANK(E17)," - ",IF(G17=0,E17,E17+G17-1))</f>
        <v>43141</v>
      </c>
      <c r="G17" s="38">
        <v>1</v>
      </c>
      <c r="H17" s="39">
        <v>0</v>
      </c>
      <c r="I17" s="95">
        <f>IF(OR(F17=0,E17=0),0,NETWORKDAYS(E17,F17))</f>
        <v>0</v>
      </c>
      <c r="J17" s="88"/>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133"/>
      <c r="AP17" s="1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row>
    <row r="18" spans="1:73" s="28" customFormat="1" ht="24" x14ac:dyDescent="0.2">
      <c r="A18" s="85" t="str">
        <f t="shared" si="19"/>
        <v>2.2</v>
      </c>
      <c r="B18" s="31" t="s">
        <v>123</v>
      </c>
      <c r="D18" s="29"/>
      <c r="E18" s="80">
        <v>43135</v>
      </c>
      <c r="F18" s="77">
        <f t="shared" si="20"/>
        <v>43136</v>
      </c>
      <c r="G18" s="38">
        <v>2</v>
      </c>
      <c r="H18" s="39">
        <v>0</v>
      </c>
      <c r="I18" s="95">
        <f t="shared" ref="I18" si="21">IF(OR(F18=0,E18=0),0,NETWORKDAYS(E18,F18))</f>
        <v>1</v>
      </c>
      <c r="J18" s="88"/>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1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row>
    <row r="19" spans="1:73" s="28" customFormat="1" ht="24" x14ac:dyDescent="0.2">
      <c r="A19" s="85" t="str">
        <f t="shared" si="19"/>
        <v>2.3</v>
      </c>
      <c r="B19" s="31" t="s">
        <v>127</v>
      </c>
      <c r="D19" s="29"/>
      <c r="E19" s="80">
        <v>43135</v>
      </c>
      <c r="F19" s="77">
        <f t="shared" ref="F19" si="22">IF(ISBLANK(E19)," - ",IF(G19=0,E19,E19+G19-1))</f>
        <v>43136</v>
      </c>
      <c r="G19" s="38">
        <v>2</v>
      </c>
      <c r="H19" s="39">
        <v>0</v>
      </c>
      <c r="I19" s="95">
        <f t="shared" ref="I19" si="23">IF(OR(F19=0,E19=0),0,NETWORKDAYS(E19,F19))</f>
        <v>1</v>
      </c>
      <c r="J19" s="88"/>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1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row>
    <row r="20" spans="1:73" s="28" customFormat="1" ht="24" x14ac:dyDescent="0.2">
      <c r="A20" s="85" t="str">
        <f t="shared" si="19"/>
        <v>2.4</v>
      </c>
      <c r="B20" s="31" t="s">
        <v>124</v>
      </c>
      <c r="D20" s="29"/>
      <c r="E20" s="80">
        <v>43135</v>
      </c>
      <c r="F20" s="77">
        <f t="shared" ref="F20" si="24">IF(ISBLANK(E20)," - ",IF(G20=0,E20,E20+G20-1))</f>
        <v>43136</v>
      </c>
      <c r="G20" s="38">
        <v>2</v>
      </c>
      <c r="H20" s="39">
        <v>0</v>
      </c>
      <c r="I20" s="95">
        <f t="shared" ref="I20" si="25">IF(OR(F20=0,E20=0),0,NETWORKDAYS(E20,F20))</f>
        <v>1</v>
      </c>
      <c r="J20" s="88"/>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130"/>
      <c r="AQ20" s="133"/>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row>
    <row r="21" spans="1:73" s="28" customFormat="1" ht="24" x14ac:dyDescent="0.2">
      <c r="A21" s="85" t="str">
        <f t="shared" si="19"/>
        <v>2.5</v>
      </c>
      <c r="B21" s="31" t="s">
        <v>128</v>
      </c>
      <c r="D21" s="29"/>
      <c r="E21" s="80">
        <v>43145</v>
      </c>
      <c r="F21" s="77">
        <f t="shared" si="20"/>
        <v>43145</v>
      </c>
      <c r="G21" s="38">
        <v>1</v>
      </c>
      <c r="H21" s="39">
        <v>0</v>
      </c>
      <c r="I21" s="95">
        <f>IF(OR(F21=0,E21=0),0,NETWORKDAYS(E21,F21))</f>
        <v>1</v>
      </c>
      <c r="J21" s="88"/>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1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row>
    <row r="22" spans="1:73" s="28" customFormat="1" ht="24" x14ac:dyDescent="0.2">
      <c r="A22" s="85" t="str">
        <f t="shared" si="19"/>
        <v>2.6</v>
      </c>
      <c r="B22" s="31" t="s">
        <v>129</v>
      </c>
      <c r="D22" s="29"/>
      <c r="E22" s="80">
        <v>43148</v>
      </c>
      <c r="F22" s="77">
        <f t="shared" si="20"/>
        <v>43149</v>
      </c>
      <c r="G22" s="38">
        <v>2</v>
      </c>
      <c r="H22" s="39">
        <v>0</v>
      </c>
      <c r="I22" s="95">
        <f>IF(OR(F22=0,E22=0),0,NETWORKDAYS(E22,F22))</f>
        <v>0</v>
      </c>
      <c r="J22" s="88"/>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1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row>
    <row r="23" spans="1:73" s="28" customFormat="1" ht="18" x14ac:dyDescent="0.2">
      <c r="A23" s="85" t="str">
        <f t="shared" si="19"/>
        <v>2.7</v>
      </c>
      <c r="B23" s="131" t="s">
        <v>130</v>
      </c>
      <c r="D23" s="29"/>
      <c r="E23" s="80">
        <v>43148</v>
      </c>
      <c r="F23" s="77">
        <f t="shared" ref="F23" si="26">IF(ISBLANK(E23)," - ",IF(G23=0,E23,E23+G23-1))</f>
        <v>43149</v>
      </c>
      <c r="G23" s="38">
        <v>2</v>
      </c>
      <c r="H23" s="39">
        <v>0</v>
      </c>
      <c r="I23" s="95">
        <f>IF(OR(F23=0,E23=0),0,NETWORKDAYS(E23,F23))</f>
        <v>0</v>
      </c>
      <c r="J23" s="88"/>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1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row>
    <row r="24" spans="1:73" s="28" customFormat="1" ht="24" x14ac:dyDescent="0.2">
      <c r="A24" s="85" t="str">
        <f t="shared" si="19"/>
        <v>2.8</v>
      </c>
      <c r="B24" s="131" t="s">
        <v>125</v>
      </c>
      <c r="D24" s="29"/>
      <c r="E24" s="80">
        <v>43148</v>
      </c>
      <c r="F24" s="77">
        <f t="shared" ref="F24" si="27">IF(ISBLANK(E24)," - ",IF(G24=0,E24,E24+G24-1))</f>
        <v>43149</v>
      </c>
      <c r="G24" s="38">
        <v>2</v>
      </c>
      <c r="H24" s="39">
        <v>0</v>
      </c>
      <c r="I24" s="95">
        <f>IF(OR(F24=0,E24=0),0,NETWORKDAYS(E24,F24))</f>
        <v>0</v>
      </c>
      <c r="J24" s="88"/>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133"/>
      <c r="AT24" s="1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row>
    <row r="25" spans="1:73" s="28" customFormat="1" ht="24" x14ac:dyDescent="0.2">
      <c r="A25" s="85" t="str">
        <f t="shared" si="19"/>
        <v>2.9</v>
      </c>
      <c r="B25" s="31" t="s">
        <v>126</v>
      </c>
      <c r="D25" s="29"/>
      <c r="E25" s="80">
        <v>43148</v>
      </c>
      <c r="F25" s="77">
        <f t="shared" ref="F25" si="28">IF(ISBLANK(E25)," - ",IF(G25=0,E25,E25+G25-1))</f>
        <v>43148</v>
      </c>
      <c r="G25" s="38">
        <v>1</v>
      </c>
      <c r="H25" s="39">
        <v>0</v>
      </c>
      <c r="I25" s="95">
        <f>IF(OR(F25=0,E25=0),0,NETWORKDAYS(E25,F25))</f>
        <v>0</v>
      </c>
      <c r="J25" s="88"/>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133"/>
      <c r="AT25" s="1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row>
    <row r="26" spans="1:73" s="27" customFormat="1" ht="18" x14ac:dyDescent="0.2">
      <c r="A26" s="86" t="str">
        <f>IF(ISERROR(VALUE(SUBSTITUTE(prevWBS,".",""))),"1",IF(ISERROR(FIND("`",SUBSTITUTE(prevWBS,".","`",1))),TEXT(VALUE(prevWBS)+1,"#"),TEXT(VALUE(LEFT(prevWBS,FIND("`",SUBSTITUTE(prevWBS,".","`",1))-1))+1,"#")))</f>
        <v>3</v>
      </c>
      <c r="B26" s="73" t="s">
        <v>131</v>
      </c>
      <c r="D26" s="32"/>
      <c r="E26" s="78"/>
      <c r="F26" s="79"/>
      <c r="G26" s="33"/>
      <c r="H26" s="34"/>
      <c r="I26" s="96"/>
      <c r="J26" s="89"/>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row>
    <row r="27" spans="1:73" s="28" customFormat="1" ht="24" x14ac:dyDescent="0.2">
      <c r="A27" s="85" t="str">
        <f t="shared" ref="A27:A34" si="2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7" s="31" t="s">
        <v>133</v>
      </c>
      <c r="D27" s="29"/>
      <c r="E27" s="80">
        <v>43141</v>
      </c>
      <c r="F27" s="77">
        <f t="shared" ref="F27:F34" si="30">IF(ISBLANK(E27)," - ",IF(G27=0,E27,E27+G27-1))</f>
        <v>43143</v>
      </c>
      <c r="G27" s="38">
        <v>3</v>
      </c>
      <c r="H27" s="39">
        <v>0</v>
      </c>
      <c r="I27" s="95">
        <f t="shared" ref="I27:I34" si="31">IF(OR(F27=0,E27=0),0,NETWORKDAYS(E27,F27))</f>
        <v>1</v>
      </c>
      <c r="J27" s="88"/>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130"/>
      <c r="BL27" s="30"/>
      <c r="BM27" s="30"/>
      <c r="BN27" s="30"/>
      <c r="BO27" s="30"/>
      <c r="BP27" s="30"/>
      <c r="BQ27" s="30"/>
      <c r="BR27" s="30"/>
      <c r="BS27" s="30"/>
      <c r="BT27" s="30"/>
      <c r="BU27" s="30"/>
    </row>
    <row r="28" spans="1:73" s="28" customFormat="1" ht="36" x14ac:dyDescent="0.2">
      <c r="A28" s="85" t="str">
        <f t="shared" si="29"/>
        <v>3.2</v>
      </c>
      <c r="B28" s="31" t="s">
        <v>134</v>
      </c>
      <c r="D28" s="29"/>
      <c r="E28" s="80">
        <v>43145</v>
      </c>
      <c r="F28" s="77">
        <f t="shared" si="30"/>
        <v>43146</v>
      </c>
      <c r="G28" s="38">
        <v>2</v>
      </c>
      <c r="H28" s="39">
        <v>0</v>
      </c>
      <c r="I28" s="95">
        <f t="shared" si="31"/>
        <v>2</v>
      </c>
      <c r="J28" s="88"/>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130"/>
      <c r="BL28" s="30"/>
      <c r="BM28" s="30"/>
      <c r="BN28" s="30"/>
      <c r="BO28" s="30"/>
      <c r="BP28" s="30"/>
      <c r="BQ28" s="30"/>
      <c r="BR28" s="30"/>
      <c r="BS28" s="30"/>
      <c r="BT28" s="30"/>
      <c r="BU28" s="30"/>
    </row>
    <row r="29" spans="1:73" s="28" customFormat="1" ht="24" x14ac:dyDescent="0.2">
      <c r="A29" s="85" t="str">
        <f t="shared" si="29"/>
        <v>3.3</v>
      </c>
      <c r="B29" s="31" t="s">
        <v>140</v>
      </c>
      <c r="D29" s="29"/>
      <c r="E29" s="80">
        <v>43145</v>
      </c>
      <c r="F29" s="77">
        <f t="shared" si="30"/>
        <v>43145</v>
      </c>
      <c r="G29" s="38">
        <v>1</v>
      </c>
      <c r="H29" s="39">
        <v>0</v>
      </c>
      <c r="I29" s="95">
        <f t="shared" si="31"/>
        <v>1</v>
      </c>
      <c r="J29" s="88"/>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130"/>
      <c r="BM29" s="130"/>
      <c r="BN29" s="30"/>
      <c r="BO29" s="30"/>
      <c r="BP29" s="30"/>
      <c r="BQ29" s="30"/>
      <c r="BR29" s="30"/>
      <c r="BS29" s="30"/>
      <c r="BT29" s="30"/>
      <c r="BU29" s="30"/>
    </row>
    <row r="30" spans="1:73" s="28" customFormat="1" ht="24" x14ac:dyDescent="0.2">
      <c r="A30" s="85" t="str">
        <f t="shared" si="29"/>
        <v>3.4</v>
      </c>
      <c r="B30" s="31" t="s">
        <v>135</v>
      </c>
      <c r="D30" s="29"/>
      <c r="E30" s="80">
        <v>43148</v>
      </c>
      <c r="F30" s="77">
        <f t="shared" si="30"/>
        <v>43149</v>
      </c>
      <c r="G30" s="38">
        <v>2</v>
      </c>
      <c r="H30" s="39">
        <v>0</v>
      </c>
      <c r="I30" s="95">
        <f t="shared" si="31"/>
        <v>0</v>
      </c>
      <c r="J30" s="88"/>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130"/>
      <c r="BM30" s="130"/>
      <c r="BN30" s="30"/>
      <c r="BO30" s="30"/>
      <c r="BP30" s="30"/>
      <c r="BQ30" s="30"/>
      <c r="BR30" s="30"/>
      <c r="BS30" s="30"/>
      <c r="BT30" s="30"/>
      <c r="BU30" s="30"/>
    </row>
    <row r="31" spans="1:73" s="28" customFormat="1" ht="24" x14ac:dyDescent="0.2">
      <c r="A31" s="85" t="str">
        <f t="shared" si="29"/>
        <v>3.5</v>
      </c>
      <c r="B31" s="31" t="s">
        <v>136</v>
      </c>
      <c r="D31" s="29"/>
      <c r="E31" s="80">
        <v>43148</v>
      </c>
      <c r="F31" s="77">
        <f t="shared" ref="F31" si="32">IF(ISBLANK(E31)," - ",IF(G31=0,E31,E31+G31-1))</f>
        <v>43148</v>
      </c>
      <c r="G31" s="38">
        <v>1</v>
      </c>
      <c r="H31" s="39">
        <v>0</v>
      </c>
      <c r="I31" s="95">
        <f t="shared" si="31"/>
        <v>0</v>
      </c>
      <c r="J31" s="88"/>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130"/>
      <c r="BM31" s="130"/>
      <c r="BN31" s="30"/>
      <c r="BO31" s="30"/>
      <c r="BP31" s="30"/>
      <c r="BQ31" s="30"/>
      <c r="BR31" s="30"/>
      <c r="BS31" s="30"/>
      <c r="BT31" s="30"/>
      <c r="BU31" s="30"/>
    </row>
    <row r="32" spans="1:73" s="28" customFormat="1" ht="18" x14ac:dyDescent="0.2">
      <c r="A32" s="85" t="str">
        <f t="shared" si="29"/>
        <v>3.6</v>
      </c>
      <c r="B32" s="31" t="s">
        <v>137</v>
      </c>
      <c r="D32" s="29"/>
      <c r="E32" s="80">
        <v>43148</v>
      </c>
      <c r="F32" s="77">
        <f t="shared" ref="F32" si="33">IF(ISBLANK(E32)," - ",IF(G32=0,E32,E32+G32-1))</f>
        <v>43148</v>
      </c>
      <c r="G32" s="38">
        <v>1</v>
      </c>
      <c r="H32" s="39">
        <v>0</v>
      </c>
      <c r="I32" s="95">
        <f t="shared" si="31"/>
        <v>0</v>
      </c>
      <c r="J32" s="88"/>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130"/>
      <c r="BN32" s="30"/>
      <c r="BO32" s="30"/>
      <c r="BP32" s="30"/>
      <c r="BQ32" s="30"/>
      <c r="BR32" s="30"/>
      <c r="BS32" s="30"/>
      <c r="BT32" s="30"/>
      <c r="BU32" s="30"/>
    </row>
    <row r="33" spans="1:73" s="28" customFormat="1" ht="24" x14ac:dyDescent="0.2">
      <c r="A33" s="85" t="str">
        <f t="shared" si="29"/>
        <v>3.7</v>
      </c>
      <c r="B33" s="31" t="s">
        <v>138</v>
      </c>
      <c r="D33" s="29"/>
      <c r="E33" s="80">
        <v>43148</v>
      </c>
      <c r="F33" s="77">
        <f t="shared" ref="F33" si="34">IF(ISBLANK(E33)," - ",IF(G33=0,E33,E33+G33-1))</f>
        <v>43148</v>
      </c>
      <c r="G33" s="38">
        <v>1</v>
      </c>
      <c r="H33" s="39">
        <v>0</v>
      </c>
      <c r="I33" s="95">
        <f t="shared" si="31"/>
        <v>0</v>
      </c>
      <c r="J33" s="88"/>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130"/>
      <c r="BN33" s="30"/>
      <c r="BO33" s="30"/>
      <c r="BP33" s="30"/>
      <c r="BQ33" s="30"/>
      <c r="BR33" s="30"/>
      <c r="BS33" s="30"/>
      <c r="BT33" s="30"/>
      <c r="BU33" s="30"/>
    </row>
    <row r="34" spans="1:73" s="28" customFormat="1" ht="24" x14ac:dyDescent="0.2">
      <c r="A34" s="85" t="str">
        <f t="shared" si="29"/>
        <v>3.8</v>
      </c>
      <c r="B34" s="31" t="s">
        <v>139</v>
      </c>
      <c r="D34" s="29"/>
      <c r="E34" s="80">
        <v>43154</v>
      </c>
      <c r="F34" s="77">
        <f t="shared" si="30"/>
        <v>43155</v>
      </c>
      <c r="G34" s="38">
        <v>2</v>
      </c>
      <c r="H34" s="39">
        <v>0</v>
      </c>
      <c r="I34" s="95">
        <f t="shared" si="31"/>
        <v>1</v>
      </c>
      <c r="J34" s="88"/>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133"/>
      <c r="BN34" s="30"/>
      <c r="BO34" s="130"/>
      <c r="BP34" s="30"/>
      <c r="BQ34" s="30"/>
      <c r="BR34" s="30"/>
      <c r="BS34" s="30"/>
      <c r="BT34" s="30"/>
      <c r="BU34" s="30"/>
    </row>
    <row r="35" spans="1:73" s="27" customFormat="1" ht="18" x14ac:dyDescent="0.2">
      <c r="A35" s="86" t="str">
        <f>IF(ISERROR(VALUE(SUBSTITUTE(prevWBS,".",""))),"1",IF(ISERROR(FIND("`",SUBSTITUTE(prevWBS,".","`",1))),TEXT(VALUE(prevWBS)+1,"#"),TEXT(VALUE(LEFT(prevWBS,FIND("`",SUBSTITUTE(prevWBS,".","`",1))-1))+1,"#")))</f>
        <v>4</v>
      </c>
      <c r="B35" s="73" t="s">
        <v>106</v>
      </c>
      <c r="D35" s="32"/>
      <c r="E35" s="78"/>
      <c r="F35" s="79"/>
      <c r="G35" s="33"/>
      <c r="H35" s="34"/>
      <c r="I35" s="96"/>
      <c r="J35" s="89"/>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row>
    <row r="36" spans="1:73" s="28" customFormat="1" ht="18" x14ac:dyDescent="0.2">
      <c r="A36"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36" s="31" t="s">
        <v>6</v>
      </c>
      <c r="D36" s="29"/>
      <c r="E36" s="80">
        <v>43129</v>
      </c>
      <c r="F36" s="77">
        <f t="shared" ref="F36:F40" si="35">IF(ISBLANK(E36)," - ",IF(G36=0,E36,E36+G36-1))</f>
        <v>43129</v>
      </c>
      <c r="G36" s="38">
        <v>1</v>
      </c>
      <c r="H36" s="39">
        <v>0</v>
      </c>
      <c r="I36" s="95">
        <f>IF(OR(F36=0,E36=0),0,NETWORKDAYS(E36,F36))</f>
        <v>1</v>
      </c>
      <c r="J36" s="88"/>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row>
    <row r="37" spans="1:73" s="28" customFormat="1" ht="18" x14ac:dyDescent="0.2">
      <c r="A37"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37" s="31" t="s">
        <v>6</v>
      </c>
      <c r="D37" s="29"/>
      <c r="E37" s="80">
        <v>43130</v>
      </c>
      <c r="F37" s="77">
        <f t="shared" si="35"/>
        <v>43130</v>
      </c>
      <c r="G37" s="38">
        <v>1</v>
      </c>
      <c r="H37" s="39">
        <v>0</v>
      </c>
      <c r="I37" s="95">
        <f>IF(OR(F37=0,E37=0),0,NETWORKDAYS(E37,F37))</f>
        <v>1</v>
      </c>
      <c r="J37" s="88"/>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row>
    <row r="38" spans="1:73" s="28" customFormat="1" ht="18" x14ac:dyDescent="0.2">
      <c r="A38"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8" s="31" t="s">
        <v>6</v>
      </c>
      <c r="D38" s="29"/>
      <c r="E38" s="80">
        <v>43131</v>
      </c>
      <c r="F38" s="77">
        <f t="shared" si="35"/>
        <v>43131</v>
      </c>
      <c r="G38" s="38">
        <v>1</v>
      </c>
      <c r="H38" s="39">
        <v>0</v>
      </c>
      <c r="I38" s="95">
        <f>IF(OR(F38=0,E38=0),0,NETWORKDAYS(E38,F38))</f>
        <v>1</v>
      </c>
      <c r="J38" s="88"/>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row>
    <row r="39" spans="1:73" s="28" customFormat="1" ht="18" x14ac:dyDescent="0.2">
      <c r="A39"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9" s="31" t="s">
        <v>6</v>
      </c>
      <c r="D39" s="29"/>
      <c r="E39" s="80">
        <v>43132</v>
      </c>
      <c r="F39" s="77">
        <f t="shared" si="35"/>
        <v>43132</v>
      </c>
      <c r="G39" s="38">
        <v>1</v>
      </c>
      <c r="H39" s="39">
        <v>0</v>
      </c>
      <c r="I39" s="95">
        <f>IF(OR(F39=0,E39=0),0,NETWORKDAYS(E39,F39))</f>
        <v>1</v>
      </c>
      <c r="J39" s="88"/>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row>
    <row r="40" spans="1:73" s="28" customFormat="1" ht="18" x14ac:dyDescent="0.2">
      <c r="A40"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40" s="31" t="s">
        <v>6</v>
      </c>
      <c r="D40" s="29"/>
      <c r="E40" s="80">
        <v>43133</v>
      </c>
      <c r="F40" s="77">
        <f t="shared" si="35"/>
        <v>43133</v>
      </c>
      <c r="G40" s="38">
        <v>1</v>
      </c>
      <c r="H40" s="39">
        <v>0</v>
      </c>
      <c r="I40" s="95">
        <f>IF(OR(F40=0,E40=0),0,NETWORKDAYS(E40,F40))</f>
        <v>1</v>
      </c>
      <c r="J40" s="88"/>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row>
    <row r="41" spans="1:73" s="27" customFormat="1" ht="18" x14ac:dyDescent="0.2">
      <c r="A41" s="86" t="str">
        <f>IF(ISERROR(VALUE(SUBSTITUTE(prevWBS,".",""))),"1",IF(ISERROR(FIND("`",SUBSTITUTE(prevWBS,".","`",1))),TEXT(VALUE(prevWBS)+1,"#"),TEXT(VALUE(LEFT(prevWBS,FIND("`",SUBSTITUTE(prevWBS,".","`",1))-1))+1,"#")))</f>
        <v>5</v>
      </c>
      <c r="B41" s="73" t="s">
        <v>106</v>
      </c>
      <c r="D41" s="32"/>
      <c r="E41" s="78"/>
      <c r="F41" s="79"/>
      <c r="G41" s="33"/>
      <c r="H41" s="34"/>
      <c r="I41" s="96"/>
      <c r="J41" s="89"/>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row>
    <row r="42" spans="1:73" s="28" customFormat="1" ht="18" x14ac:dyDescent="0.2">
      <c r="A42"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42" s="31" t="s">
        <v>6</v>
      </c>
      <c r="D42" s="29"/>
      <c r="E42" s="80">
        <v>43134</v>
      </c>
      <c r="F42" s="77">
        <f t="shared" ref="F42:F46" si="36">IF(ISBLANK(E42)," - ",IF(G42=0,E42,E42+G42-1))</f>
        <v>43134</v>
      </c>
      <c r="G42" s="38">
        <v>1</v>
      </c>
      <c r="H42" s="39">
        <v>0</v>
      </c>
      <c r="I42" s="95">
        <f>IF(OR(F42=0,E42=0),0,NETWORKDAYS(E42,F42))</f>
        <v>0</v>
      </c>
      <c r="J42" s="88"/>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row>
    <row r="43" spans="1:73" s="28" customFormat="1" ht="18" x14ac:dyDescent="0.2">
      <c r="A43"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43" s="31" t="s">
        <v>6</v>
      </c>
      <c r="D43" s="29"/>
      <c r="E43" s="80">
        <v>43135</v>
      </c>
      <c r="F43" s="77">
        <f t="shared" si="36"/>
        <v>43135</v>
      </c>
      <c r="G43" s="38">
        <v>1</v>
      </c>
      <c r="H43" s="39">
        <v>0</v>
      </c>
      <c r="I43" s="95">
        <f>IF(OR(F43=0,E43=0),0,NETWORKDAYS(E43,F43))</f>
        <v>0</v>
      </c>
      <c r="J43" s="88"/>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row>
    <row r="44" spans="1:73" s="28" customFormat="1" ht="18" x14ac:dyDescent="0.2">
      <c r="A44"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44" s="31" t="s">
        <v>6</v>
      </c>
      <c r="D44" s="29"/>
      <c r="E44" s="80">
        <v>43136</v>
      </c>
      <c r="F44" s="77">
        <f t="shared" si="36"/>
        <v>43136</v>
      </c>
      <c r="G44" s="38">
        <v>1</v>
      </c>
      <c r="H44" s="39">
        <v>0</v>
      </c>
      <c r="I44" s="95">
        <f>IF(OR(F44=0,E44=0),0,NETWORKDAYS(E44,F44))</f>
        <v>1</v>
      </c>
      <c r="J44" s="88"/>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row>
    <row r="45" spans="1:73" s="28" customFormat="1" ht="18" x14ac:dyDescent="0.2">
      <c r="A45"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45" s="31" t="s">
        <v>6</v>
      </c>
      <c r="D45" s="29"/>
      <c r="E45" s="80">
        <v>43137</v>
      </c>
      <c r="F45" s="77">
        <f t="shared" si="36"/>
        <v>43137</v>
      </c>
      <c r="G45" s="38">
        <v>1</v>
      </c>
      <c r="H45" s="39">
        <v>0</v>
      </c>
      <c r="I45" s="95">
        <f>IF(OR(F45=0,E45=0),0,NETWORKDAYS(E45,F45))</f>
        <v>1</v>
      </c>
      <c r="J45" s="88"/>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row>
    <row r="46" spans="1:73" s="28" customFormat="1" ht="18" x14ac:dyDescent="0.2">
      <c r="A46"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5.5</v>
      </c>
      <c r="B46" s="31" t="s">
        <v>6</v>
      </c>
      <c r="D46" s="29"/>
      <c r="E46" s="80">
        <v>43138</v>
      </c>
      <c r="F46" s="77">
        <f t="shared" si="36"/>
        <v>43138</v>
      </c>
      <c r="G46" s="38">
        <v>1</v>
      </c>
      <c r="H46" s="39">
        <v>0</v>
      </c>
      <c r="I46" s="95">
        <f>IF(OR(F46=0,E46=0),0,NETWORKDAYS(E46,F46))</f>
        <v>1</v>
      </c>
      <c r="J46" s="88"/>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row>
    <row r="47" spans="1:73" s="27" customFormat="1" ht="18" x14ac:dyDescent="0.2">
      <c r="A47" s="86" t="str">
        <f>IF(ISERROR(VALUE(SUBSTITUTE(prevWBS,".",""))),"1",IF(ISERROR(FIND("`",SUBSTITUTE(prevWBS,".","`",1))),TEXT(VALUE(prevWBS)+1,"#"),TEXT(VALUE(LEFT(prevWBS,FIND("`",SUBSTITUTE(prevWBS,".","`",1))-1))+1,"#")))</f>
        <v>6</v>
      </c>
      <c r="B47" s="73" t="s">
        <v>106</v>
      </c>
      <c r="D47" s="32"/>
      <c r="E47" s="78"/>
      <c r="F47" s="79"/>
      <c r="G47" s="33"/>
      <c r="H47" s="34"/>
      <c r="I47" s="96"/>
      <c r="J47" s="89"/>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row>
    <row r="48" spans="1:73" s="28" customFormat="1" ht="18" x14ac:dyDescent="0.2">
      <c r="A48"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6.1</v>
      </c>
      <c r="B48" s="31" t="s">
        <v>6</v>
      </c>
      <c r="D48" s="29"/>
      <c r="E48" s="80">
        <v>43129</v>
      </c>
      <c r="F48" s="77">
        <f t="shared" ref="F48:F52" si="37">IF(ISBLANK(E48)," - ",IF(G48=0,E48,E48+G48-1))</f>
        <v>43129</v>
      </c>
      <c r="G48" s="38">
        <v>1</v>
      </c>
      <c r="H48" s="39">
        <v>0</v>
      </c>
      <c r="I48" s="95">
        <f>IF(OR(F48=0,E48=0),0,NETWORKDAYS(E48,F48))</f>
        <v>1</v>
      </c>
      <c r="J48" s="88"/>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row>
    <row r="49" spans="1:73" s="28" customFormat="1" ht="18" x14ac:dyDescent="0.2">
      <c r="A49"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6.2</v>
      </c>
      <c r="B49" s="31" t="s">
        <v>6</v>
      </c>
      <c r="D49" s="29"/>
      <c r="E49" s="80">
        <v>43130</v>
      </c>
      <c r="F49" s="77">
        <f t="shared" si="37"/>
        <v>43130</v>
      </c>
      <c r="G49" s="38">
        <v>1</v>
      </c>
      <c r="H49" s="39">
        <v>0</v>
      </c>
      <c r="I49" s="95">
        <f>IF(OR(F49=0,E49=0),0,NETWORKDAYS(E49,F49))</f>
        <v>1</v>
      </c>
      <c r="J49" s="88"/>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row>
    <row r="50" spans="1:73" s="28" customFormat="1" ht="18" x14ac:dyDescent="0.2">
      <c r="A50"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6.3</v>
      </c>
      <c r="B50" s="31" t="s">
        <v>6</v>
      </c>
      <c r="D50" s="29"/>
      <c r="E50" s="80">
        <v>43131</v>
      </c>
      <c r="F50" s="77">
        <f t="shared" si="37"/>
        <v>43131</v>
      </c>
      <c r="G50" s="38">
        <v>1</v>
      </c>
      <c r="H50" s="39">
        <v>0</v>
      </c>
      <c r="I50" s="95">
        <f>IF(OR(F50=0,E50=0),0,NETWORKDAYS(E50,F50))</f>
        <v>1</v>
      </c>
      <c r="J50" s="88"/>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row>
    <row r="51" spans="1:73" s="28" customFormat="1" ht="18" x14ac:dyDescent="0.2">
      <c r="A51"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6.4</v>
      </c>
      <c r="B51" s="31" t="s">
        <v>6</v>
      </c>
      <c r="D51" s="29"/>
      <c r="E51" s="80">
        <v>43132</v>
      </c>
      <c r="F51" s="77">
        <f t="shared" si="37"/>
        <v>43132</v>
      </c>
      <c r="G51" s="38">
        <v>1</v>
      </c>
      <c r="H51" s="39">
        <v>0</v>
      </c>
      <c r="I51" s="95">
        <f>IF(OR(F51=0,E51=0),0,NETWORKDAYS(E51,F51))</f>
        <v>1</v>
      </c>
      <c r="J51" s="88"/>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row>
    <row r="52" spans="1:73" s="28" customFormat="1" ht="18" x14ac:dyDescent="0.2">
      <c r="A52"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6.5</v>
      </c>
      <c r="B52" s="31" t="s">
        <v>6</v>
      </c>
      <c r="D52" s="29"/>
      <c r="E52" s="80">
        <v>43133</v>
      </c>
      <c r="F52" s="77">
        <f t="shared" si="37"/>
        <v>43133</v>
      </c>
      <c r="G52" s="38">
        <v>1</v>
      </c>
      <c r="H52" s="39">
        <v>0</v>
      </c>
      <c r="I52" s="95">
        <f>IF(OR(F52=0,E52=0),0,NETWORKDAYS(E52,F52))</f>
        <v>1</v>
      </c>
      <c r="J52" s="88"/>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row>
    <row r="53" spans="1:73" s="27" customFormat="1" ht="18" x14ac:dyDescent="0.2">
      <c r="A53" s="86" t="str">
        <f>IF(ISERROR(VALUE(SUBSTITUTE(prevWBS,".",""))),"1",IF(ISERROR(FIND("`",SUBSTITUTE(prevWBS,".","`",1))),TEXT(VALUE(prevWBS)+1,"#"),TEXT(VALUE(LEFT(prevWBS,FIND("`",SUBSTITUTE(prevWBS,".","`",1))-1))+1,"#")))</f>
        <v>7</v>
      </c>
      <c r="B53" s="73" t="s">
        <v>106</v>
      </c>
      <c r="D53" s="32"/>
      <c r="E53" s="78"/>
      <c r="F53" s="79"/>
      <c r="G53" s="33"/>
      <c r="H53" s="34"/>
      <c r="I53" s="96"/>
      <c r="J53" s="89"/>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row>
    <row r="54" spans="1:73" s="28" customFormat="1" ht="18" x14ac:dyDescent="0.2">
      <c r="A54"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54" s="31" t="s">
        <v>6</v>
      </c>
      <c r="D54" s="29"/>
      <c r="E54" s="80">
        <v>43129</v>
      </c>
      <c r="F54" s="77">
        <f t="shared" ref="F54:F56" si="38">IF(ISBLANK(E54)," - ",IF(G54=0,E54,E54+G54-1))</f>
        <v>43129</v>
      </c>
      <c r="G54" s="38">
        <v>1</v>
      </c>
      <c r="H54" s="39">
        <v>0</v>
      </c>
      <c r="I54" s="95">
        <f>IF(OR(F54=0,E54=0),0,NETWORKDAYS(E54,F54))</f>
        <v>1</v>
      </c>
      <c r="J54" s="88"/>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row>
    <row r="55" spans="1:73" s="28" customFormat="1" ht="18" x14ac:dyDescent="0.2">
      <c r="A55"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55" s="31" t="s">
        <v>6</v>
      </c>
      <c r="D55" s="29"/>
      <c r="E55" s="80">
        <v>43130</v>
      </c>
      <c r="F55" s="77">
        <f t="shared" si="38"/>
        <v>43130</v>
      </c>
      <c r="G55" s="38">
        <v>1</v>
      </c>
      <c r="H55" s="39">
        <v>0</v>
      </c>
      <c r="I55" s="95">
        <f>IF(OR(F55=0,E55=0),0,NETWORKDAYS(E55,F55))</f>
        <v>1</v>
      </c>
      <c r="J55" s="88"/>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row>
    <row r="56" spans="1:73" s="28" customFormat="1" ht="18" x14ac:dyDescent="0.2">
      <c r="A56"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56" s="31" t="s">
        <v>6</v>
      </c>
      <c r="D56" s="29"/>
      <c r="E56" s="80">
        <v>43131</v>
      </c>
      <c r="F56" s="77">
        <f t="shared" si="38"/>
        <v>43131</v>
      </c>
      <c r="G56" s="38">
        <v>1</v>
      </c>
      <c r="H56" s="39">
        <v>0</v>
      </c>
      <c r="I56" s="95">
        <f>IF(OR(F56=0,E56=0),0,NETWORKDAYS(E56,F56))</f>
        <v>1</v>
      </c>
      <c r="J56" s="88"/>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row>
    <row r="57" spans="1:73" s="27" customFormat="1" ht="18" x14ac:dyDescent="0.2">
      <c r="A57" s="86" t="str">
        <f>IF(ISERROR(VALUE(SUBSTITUTE(prevWBS,".",""))),"1",IF(ISERROR(FIND("`",SUBSTITUTE(prevWBS,".","`",1))),TEXT(VALUE(prevWBS)+1,"#"),TEXT(VALUE(LEFT(prevWBS,FIND("`",SUBSTITUTE(prevWBS,".","`",1))-1))+1,"#")))</f>
        <v>8</v>
      </c>
      <c r="B57" s="73" t="s">
        <v>106</v>
      </c>
      <c r="D57" s="32"/>
      <c r="E57" s="78"/>
      <c r="F57" s="79"/>
      <c r="G57" s="33"/>
      <c r="H57" s="34"/>
      <c r="I57" s="96"/>
      <c r="J57" s="89"/>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c r="BO57" s="32"/>
      <c r="BP57" s="32"/>
      <c r="BQ57" s="32"/>
      <c r="BR57" s="32"/>
      <c r="BS57" s="32"/>
      <c r="BT57" s="32"/>
      <c r="BU57" s="32"/>
    </row>
    <row r="58" spans="1:73" s="28" customFormat="1" ht="18" x14ac:dyDescent="0.2">
      <c r="A58"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8.1</v>
      </c>
      <c r="B58" s="31" t="s">
        <v>6</v>
      </c>
      <c r="D58" s="29"/>
      <c r="E58" s="80">
        <v>43129</v>
      </c>
      <c r="F58" s="77">
        <f t="shared" ref="F58:F62" si="39">IF(ISBLANK(E58)," - ",IF(G58=0,E58,E58+G58-1))</f>
        <v>43129</v>
      </c>
      <c r="G58" s="38">
        <v>1</v>
      </c>
      <c r="H58" s="39">
        <v>0</v>
      </c>
      <c r="I58" s="95">
        <f>IF(OR(F58=0,E58=0),0,NETWORKDAYS(E58,F58))</f>
        <v>1</v>
      </c>
      <c r="J58" s="88"/>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row>
    <row r="59" spans="1:73" s="28" customFormat="1" ht="18" x14ac:dyDescent="0.2">
      <c r="A59"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8.2</v>
      </c>
      <c r="B59" s="31" t="s">
        <v>6</v>
      </c>
      <c r="D59" s="29"/>
      <c r="E59" s="80">
        <v>43130</v>
      </c>
      <c r="F59" s="77">
        <f t="shared" si="39"/>
        <v>43130</v>
      </c>
      <c r="G59" s="38">
        <v>1</v>
      </c>
      <c r="H59" s="39">
        <v>0</v>
      </c>
      <c r="I59" s="95">
        <f>IF(OR(F59=0,E59=0),0,NETWORKDAYS(E59,F59))</f>
        <v>1</v>
      </c>
      <c r="J59" s="88"/>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row>
    <row r="60" spans="1:73" s="28" customFormat="1" ht="18" x14ac:dyDescent="0.2">
      <c r="A60"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8.3</v>
      </c>
      <c r="B60" s="31" t="s">
        <v>6</v>
      </c>
      <c r="D60" s="29"/>
      <c r="E60" s="80">
        <v>43131</v>
      </c>
      <c r="F60" s="77">
        <f t="shared" si="39"/>
        <v>43131</v>
      </c>
      <c r="G60" s="38">
        <v>1</v>
      </c>
      <c r="H60" s="39">
        <v>0</v>
      </c>
      <c r="I60" s="95">
        <f>IF(OR(F60=0,E60=0),0,NETWORKDAYS(E60,F60))</f>
        <v>1</v>
      </c>
      <c r="J60" s="88"/>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row>
    <row r="61" spans="1:73" s="28" customFormat="1" ht="18" x14ac:dyDescent="0.2">
      <c r="A61"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8.4</v>
      </c>
      <c r="B61" s="31" t="s">
        <v>6</v>
      </c>
      <c r="D61" s="29"/>
      <c r="E61" s="80">
        <v>43132</v>
      </c>
      <c r="F61" s="77">
        <f t="shared" si="39"/>
        <v>43132</v>
      </c>
      <c r="G61" s="38">
        <v>1</v>
      </c>
      <c r="H61" s="39">
        <v>0</v>
      </c>
      <c r="I61" s="95">
        <f>IF(OR(F61=0,E61=0),0,NETWORKDAYS(E61,F61))</f>
        <v>1</v>
      </c>
      <c r="J61" s="88"/>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row>
    <row r="62" spans="1:73" s="28" customFormat="1" ht="18" x14ac:dyDescent="0.2">
      <c r="A62"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8.5</v>
      </c>
      <c r="B62" s="31" t="s">
        <v>6</v>
      </c>
      <c r="D62" s="29"/>
      <c r="E62" s="80">
        <v>43133</v>
      </c>
      <c r="F62" s="77">
        <f t="shared" si="39"/>
        <v>43133</v>
      </c>
      <c r="G62" s="38">
        <v>1</v>
      </c>
      <c r="H62" s="39">
        <v>0</v>
      </c>
      <c r="I62" s="95">
        <f>IF(OR(F62=0,E62=0),0,NETWORKDAYS(E62,F62))</f>
        <v>1</v>
      </c>
      <c r="J62" s="88"/>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row>
    <row r="63" spans="1:73" s="27" customFormat="1" ht="18" customHeight="1" x14ac:dyDescent="0.2">
      <c r="A63" s="86" t="str">
        <f>IF(ISERROR(VALUE(SUBSTITUTE(prevWBS,".",""))),"1",IF(ISERROR(FIND("`",SUBSTITUTE(prevWBS,".","`",1))),TEXT(VALUE(prevWBS)+1,"#"),TEXT(VALUE(LEFT(prevWBS,FIND("`",SUBSTITUTE(prevWBS,".","`",1))-1))+1,"#")))</f>
        <v>9</v>
      </c>
      <c r="B63" s="73" t="s">
        <v>106</v>
      </c>
      <c r="D63" s="32"/>
      <c r="E63" s="78"/>
      <c r="F63" s="79"/>
      <c r="G63" s="33"/>
      <c r="H63" s="34"/>
      <c r="I63" s="96"/>
      <c r="J63" s="89"/>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c r="BO63" s="32"/>
      <c r="BP63" s="32"/>
      <c r="BQ63" s="32"/>
      <c r="BR63" s="32"/>
      <c r="BS63" s="32"/>
      <c r="BT63" s="32"/>
      <c r="BU63" s="32"/>
    </row>
    <row r="64" spans="1:73" s="28" customFormat="1" ht="18" customHeight="1" x14ac:dyDescent="0.2">
      <c r="A64"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9.1</v>
      </c>
      <c r="B64" s="31" t="s">
        <v>6</v>
      </c>
      <c r="D64" s="29"/>
      <c r="E64" s="80">
        <v>43134</v>
      </c>
      <c r="F64" s="77">
        <f t="shared" ref="F64:F68" si="40">IF(ISBLANK(E64)," - ",IF(G64=0,E64,E64+G64-1))</f>
        <v>43134</v>
      </c>
      <c r="G64" s="38">
        <v>1</v>
      </c>
      <c r="H64" s="39">
        <v>0</v>
      </c>
      <c r="I64" s="95">
        <f t="shared" ref="I64:I68" si="41">IF(OR(F64=0,E64=0),0,NETWORKDAYS(E64,F64))</f>
        <v>0</v>
      </c>
      <c r="J64" s="88"/>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row>
    <row r="65" spans="1:73" s="28" customFormat="1" ht="18" customHeight="1" x14ac:dyDescent="0.2">
      <c r="A65"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9.2</v>
      </c>
      <c r="B65" s="31" t="s">
        <v>6</v>
      </c>
      <c r="D65" s="29"/>
      <c r="E65" s="80">
        <v>43135</v>
      </c>
      <c r="F65" s="77">
        <f t="shared" si="40"/>
        <v>43135</v>
      </c>
      <c r="G65" s="38">
        <v>1</v>
      </c>
      <c r="H65" s="39">
        <v>0</v>
      </c>
      <c r="I65" s="95">
        <f t="shared" si="41"/>
        <v>0</v>
      </c>
      <c r="J65" s="88"/>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row>
    <row r="66" spans="1:73" s="28" customFormat="1" ht="18" customHeight="1" x14ac:dyDescent="0.2">
      <c r="A66"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9.3</v>
      </c>
      <c r="B66" s="31" t="s">
        <v>6</v>
      </c>
      <c r="D66" s="29"/>
      <c r="E66" s="80">
        <v>43136</v>
      </c>
      <c r="F66" s="77">
        <f t="shared" si="40"/>
        <v>43136</v>
      </c>
      <c r="G66" s="38">
        <v>1</v>
      </c>
      <c r="H66" s="39">
        <v>0</v>
      </c>
      <c r="I66" s="95">
        <f t="shared" si="41"/>
        <v>1</v>
      </c>
      <c r="J66" s="88"/>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row>
    <row r="67" spans="1:73" s="28" customFormat="1" ht="18" customHeight="1" x14ac:dyDescent="0.2">
      <c r="A67"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9.4</v>
      </c>
      <c r="B67" s="31" t="s">
        <v>6</v>
      </c>
      <c r="D67" s="29"/>
      <c r="E67" s="80">
        <v>43137</v>
      </c>
      <c r="F67" s="77">
        <f t="shared" si="40"/>
        <v>43137</v>
      </c>
      <c r="G67" s="38">
        <v>1</v>
      </c>
      <c r="H67" s="39">
        <v>0</v>
      </c>
      <c r="I67" s="95">
        <f t="shared" si="41"/>
        <v>1</v>
      </c>
      <c r="J67" s="88"/>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row>
    <row r="68" spans="1:73" s="28" customFormat="1" ht="18" customHeight="1" x14ac:dyDescent="0.2">
      <c r="A68"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9.5</v>
      </c>
      <c r="B68" s="31" t="s">
        <v>6</v>
      </c>
      <c r="D68" s="29"/>
      <c r="E68" s="80">
        <v>43138</v>
      </c>
      <c r="F68" s="77">
        <f t="shared" si="40"/>
        <v>43138</v>
      </c>
      <c r="G68" s="38">
        <v>1</v>
      </c>
      <c r="H68" s="39">
        <v>0</v>
      </c>
      <c r="I68" s="95">
        <f t="shared" si="41"/>
        <v>1</v>
      </c>
      <c r="J68" s="88"/>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row>
    <row r="69" spans="1:73" s="27" customFormat="1" ht="18" customHeight="1" x14ac:dyDescent="0.2">
      <c r="A69" s="86" t="str">
        <f>IF(ISERROR(VALUE(SUBSTITUTE(prevWBS,".",""))),"1",IF(ISERROR(FIND("`",SUBSTITUTE(prevWBS,".","`",1))),TEXT(VALUE(prevWBS)+1,"#"),TEXT(VALUE(LEFT(prevWBS,FIND("`",SUBSTITUTE(prevWBS,".","`",1))-1))+1,"#")))</f>
        <v>10</v>
      </c>
      <c r="B69" s="73" t="s">
        <v>106</v>
      </c>
      <c r="D69" s="32"/>
      <c r="E69" s="78"/>
      <c r="F69" s="79"/>
      <c r="G69" s="33"/>
      <c r="H69" s="34"/>
      <c r="I69" s="96"/>
      <c r="J69" s="89"/>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c r="BO69" s="32"/>
      <c r="BP69" s="32"/>
      <c r="BQ69" s="32"/>
      <c r="BR69" s="32"/>
      <c r="BS69" s="32"/>
      <c r="BT69" s="32"/>
      <c r="BU69" s="32"/>
    </row>
    <row r="70" spans="1:73" s="28" customFormat="1" ht="18" customHeight="1" x14ac:dyDescent="0.2">
      <c r="A70"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10.1</v>
      </c>
      <c r="B70" s="31" t="s">
        <v>6</v>
      </c>
      <c r="D70" s="29"/>
      <c r="E70" s="80">
        <v>43139</v>
      </c>
      <c r="F70" s="77">
        <f t="shared" ref="F70:F73" si="42">IF(ISBLANK(E70)," - ",IF(G70=0,E70,E70+G70-1))</f>
        <v>43139</v>
      </c>
      <c r="G70" s="38">
        <v>1</v>
      </c>
      <c r="H70" s="39">
        <v>0</v>
      </c>
      <c r="I70" s="95">
        <f t="shared" ref="I70:I73" si="43">IF(OR(F70=0,E70=0),0,NETWORKDAYS(E70,F70))</f>
        <v>1</v>
      </c>
      <c r="J70" s="88"/>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row>
    <row r="71" spans="1:73" s="28" customFormat="1" ht="18" customHeight="1" x14ac:dyDescent="0.2">
      <c r="A71"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10.2</v>
      </c>
      <c r="B71" s="31" t="s">
        <v>6</v>
      </c>
      <c r="D71" s="29"/>
      <c r="E71" s="80">
        <v>43140</v>
      </c>
      <c r="F71" s="77">
        <f t="shared" si="42"/>
        <v>43140</v>
      </c>
      <c r="G71" s="38">
        <v>1</v>
      </c>
      <c r="H71" s="39">
        <v>0</v>
      </c>
      <c r="I71" s="95">
        <f t="shared" si="43"/>
        <v>1</v>
      </c>
      <c r="J71" s="88"/>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row>
    <row r="72" spans="1:73" s="28" customFormat="1" ht="18" customHeight="1" x14ac:dyDescent="0.2">
      <c r="A72"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10.3</v>
      </c>
      <c r="B72" s="31" t="s">
        <v>6</v>
      </c>
      <c r="D72" s="29"/>
      <c r="E72" s="80">
        <v>43141</v>
      </c>
      <c r="F72" s="77">
        <f t="shared" si="42"/>
        <v>43141</v>
      </c>
      <c r="G72" s="38">
        <v>1</v>
      </c>
      <c r="H72" s="39">
        <v>0</v>
      </c>
      <c r="I72" s="95">
        <f t="shared" si="43"/>
        <v>0</v>
      </c>
      <c r="J72" s="88"/>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row>
    <row r="73" spans="1:73" s="28" customFormat="1" ht="18" customHeight="1" x14ac:dyDescent="0.2">
      <c r="A73"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10.4</v>
      </c>
      <c r="B73" s="31" t="s">
        <v>6</v>
      </c>
      <c r="D73" s="29"/>
      <c r="E73" s="80">
        <v>43142</v>
      </c>
      <c r="F73" s="77">
        <f t="shared" si="42"/>
        <v>43142</v>
      </c>
      <c r="G73" s="38">
        <v>1</v>
      </c>
      <c r="H73" s="39">
        <v>0</v>
      </c>
      <c r="I73" s="95">
        <f t="shared" si="43"/>
        <v>0</v>
      </c>
      <c r="J73" s="88"/>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row>
    <row r="74" spans="1:73" s="27" customFormat="1" ht="18" customHeight="1" x14ac:dyDescent="0.2">
      <c r="A74" s="86" t="str">
        <f>IF(ISERROR(VALUE(SUBSTITUTE(prevWBS,".",""))),"1",IF(ISERROR(FIND("`",SUBSTITUTE(prevWBS,".","`",1))),TEXT(VALUE(prevWBS)+1,"#"),TEXT(VALUE(LEFT(prevWBS,FIND("`",SUBSTITUTE(prevWBS,".","`",1))-1))+1,"#")))</f>
        <v>11</v>
      </c>
      <c r="B74" s="73" t="s">
        <v>106</v>
      </c>
      <c r="D74" s="32"/>
      <c r="E74" s="78"/>
      <c r="F74" s="79"/>
      <c r="G74" s="33"/>
      <c r="H74" s="34"/>
      <c r="I74" s="96"/>
      <c r="J74" s="89"/>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row>
    <row r="75" spans="1:73" s="28" customFormat="1" ht="18" customHeight="1" x14ac:dyDescent="0.2">
      <c r="A75"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11.1</v>
      </c>
      <c r="B75" s="31" t="s">
        <v>6</v>
      </c>
      <c r="D75" s="29"/>
      <c r="E75" s="80">
        <v>43143</v>
      </c>
      <c r="F75" s="77">
        <f t="shared" ref="F75:F78" si="44">IF(ISBLANK(E75)," - ",IF(G75=0,E75,E75+G75-1))</f>
        <v>43143</v>
      </c>
      <c r="G75" s="38">
        <v>1</v>
      </c>
      <c r="H75" s="39">
        <v>0</v>
      </c>
      <c r="I75" s="95">
        <f t="shared" ref="I75:I78" si="45">IF(OR(F75=0,E75=0),0,NETWORKDAYS(E75,F75))</f>
        <v>1</v>
      </c>
      <c r="J75" s="88"/>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row>
    <row r="76" spans="1:73" s="28" customFormat="1" ht="18" customHeight="1" x14ac:dyDescent="0.2">
      <c r="A76"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76" s="31" t="s">
        <v>6</v>
      </c>
      <c r="D76" s="29"/>
      <c r="E76" s="80">
        <v>43144</v>
      </c>
      <c r="F76" s="77">
        <f t="shared" si="44"/>
        <v>43144</v>
      </c>
      <c r="G76" s="38">
        <v>1</v>
      </c>
      <c r="H76" s="39">
        <v>0</v>
      </c>
      <c r="I76" s="95">
        <f t="shared" si="45"/>
        <v>1</v>
      </c>
      <c r="J76" s="88"/>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row>
    <row r="77" spans="1:73" s="28" customFormat="1" ht="18" customHeight="1" x14ac:dyDescent="0.2">
      <c r="A77"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11.3</v>
      </c>
      <c r="B77" s="31" t="s">
        <v>6</v>
      </c>
      <c r="D77" s="29"/>
      <c r="E77" s="80">
        <v>43145</v>
      </c>
      <c r="F77" s="77">
        <f t="shared" si="44"/>
        <v>43145</v>
      </c>
      <c r="G77" s="38">
        <v>1</v>
      </c>
      <c r="H77" s="39">
        <v>0</v>
      </c>
      <c r="I77" s="95">
        <f t="shared" si="45"/>
        <v>1</v>
      </c>
      <c r="J77" s="88"/>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row>
    <row r="78" spans="1:73" s="28" customFormat="1" ht="18" customHeight="1" x14ac:dyDescent="0.2">
      <c r="A78"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11.4</v>
      </c>
      <c r="B78" s="31" t="s">
        <v>6</v>
      </c>
      <c r="D78" s="29"/>
      <c r="E78" s="80">
        <v>43146</v>
      </c>
      <c r="F78" s="77">
        <f t="shared" si="44"/>
        <v>43146</v>
      </c>
      <c r="G78" s="38">
        <v>1</v>
      </c>
      <c r="H78" s="39">
        <v>0</v>
      </c>
      <c r="I78" s="95">
        <f t="shared" si="45"/>
        <v>1</v>
      </c>
      <c r="J78" s="88"/>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row>
    <row r="79" spans="1:73" s="27" customFormat="1" ht="18" customHeight="1" x14ac:dyDescent="0.2">
      <c r="A79" s="86" t="str">
        <f>IF(ISERROR(VALUE(SUBSTITUTE(prevWBS,".",""))),"1",IF(ISERROR(FIND("`",SUBSTITUTE(prevWBS,".","`",1))),TEXT(VALUE(prevWBS)+1,"#"),TEXT(VALUE(LEFT(prevWBS,FIND("`",SUBSTITUTE(prevWBS,".","`",1))-1))+1,"#")))</f>
        <v>12</v>
      </c>
      <c r="B79" s="73" t="s">
        <v>106</v>
      </c>
      <c r="D79" s="32"/>
      <c r="E79" s="78"/>
      <c r="F79" s="79"/>
      <c r="G79" s="33"/>
      <c r="H79" s="34"/>
      <c r="I79" s="96"/>
      <c r="J79" s="89"/>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c r="BO79" s="32"/>
      <c r="BP79" s="32"/>
      <c r="BQ79" s="32"/>
      <c r="BR79" s="32"/>
      <c r="BS79" s="32"/>
      <c r="BT79" s="32"/>
      <c r="BU79" s="32"/>
    </row>
    <row r="80" spans="1:73" s="28" customFormat="1" ht="18" customHeight="1" x14ac:dyDescent="0.2">
      <c r="A80" s="85"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12.1</v>
      </c>
      <c r="B80" s="31" t="s">
        <v>6</v>
      </c>
      <c r="D80" s="29"/>
      <c r="E80" s="80">
        <v>43147</v>
      </c>
      <c r="F80" s="77">
        <f t="shared" ref="F80" si="46">IF(ISBLANK(E80)," - ",IF(G80=0,E80,E80+G80-1))</f>
        <v>43147</v>
      </c>
      <c r="G80" s="38">
        <v>1</v>
      </c>
      <c r="H80" s="39">
        <v>0</v>
      </c>
      <c r="I80" s="95">
        <f t="shared" ref="I80" si="47">IF(OR(F80=0,E80=0),0,NETWORKDAYS(E80,F80))</f>
        <v>1</v>
      </c>
      <c r="J80" s="88"/>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row>
    <row r="86" spans="1:6" ht="13.5" thickBot="1" x14ac:dyDescent="0.25">
      <c r="A86" s="153" t="s">
        <v>102</v>
      </c>
      <c r="B86" s="153"/>
      <c r="C86" s="153"/>
      <c r="D86" s="153"/>
      <c r="E86" s="153"/>
      <c r="F86" s="153"/>
    </row>
    <row r="87" spans="1:6" ht="13.5" thickTop="1" x14ac:dyDescent="0.2">
      <c r="A87" s="127"/>
      <c r="B87" s="128"/>
      <c r="C87" s="128"/>
      <c r="D87" s="128"/>
      <c r="E87" s="129"/>
      <c r="F87" s="129"/>
    </row>
    <row r="88" spans="1:6" ht="15" x14ac:dyDescent="0.2">
      <c r="A88" s="86" t="s">
        <v>103</v>
      </c>
      <c r="B88" s="158" t="s">
        <v>104</v>
      </c>
      <c r="C88" s="158"/>
      <c r="D88" s="158"/>
      <c r="E88" s="158"/>
      <c r="F88" s="79" t="s">
        <v>105</v>
      </c>
    </row>
    <row r="89" spans="1:6" ht="153" customHeight="1" x14ac:dyDescent="0.2">
      <c r="A89" s="85"/>
      <c r="B89" s="137" t="s">
        <v>110</v>
      </c>
      <c r="C89" s="137"/>
      <c r="D89" s="137"/>
      <c r="E89" s="137"/>
      <c r="F89" s="77">
        <v>46077</v>
      </c>
    </row>
    <row r="90" spans="1:6" ht="124.5" customHeight="1" x14ac:dyDescent="0.2">
      <c r="A90" s="85"/>
      <c r="B90" s="137" t="s">
        <v>121</v>
      </c>
      <c r="C90" s="137"/>
      <c r="D90" s="137"/>
      <c r="E90" s="137"/>
      <c r="F90" s="77">
        <v>46098</v>
      </c>
    </row>
    <row r="91" spans="1:6" ht="121.5" customHeight="1" x14ac:dyDescent="0.2">
      <c r="A91" s="85"/>
      <c r="B91" s="137" t="s">
        <v>120</v>
      </c>
      <c r="C91" s="137"/>
      <c r="D91" s="137"/>
      <c r="E91" s="137"/>
      <c r="F91" s="77">
        <v>46119</v>
      </c>
    </row>
  </sheetData>
  <sheetProtection formatCells="0" formatColumns="0" formatRows="0" insertRows="0" deleteRows="0"/>
  <mergeCells count="30">
    <mergeCell ref="B90:E90"/>
    <mergeCell ref="BO5:BU5"/>
    <mergeCell ref="B88:E88"/>
    <mergeCell ref="B89:E89"/>
    <mergeCell ref="BH4:BN4"/>
    <mergeCell ref="BH5:BN5"/>
    <mergeCell ref="AM5:AS5"/>
    <mergeCell ref="AT4:AZ4"/>
    <mergeCell ref="AT5:AZ5"/>
    <mergeCell ref="AM4:AS4"/>
    <mergeCell ref="BA4:BG4"/>
    <mergeCell ref="BA5:BG5"/>
    <mergeCell ref="AF4:AL4"/>
    <mergeCell ref="AF5:AL5"/>
    <mergeCell ref="AT3:BG3"/>
    <mergeCell ref="BH3:BU3"/>
    <mergeCell ref="B91:E91"/>
    <mergeCell ref="Y4:AE4"/>
    <mergeCell ref="Y5:AE5"/>
    <mergeCell ref="K3:X3"/>
    <mergeCell ref="Y3:AE3"/>
    <mergeCell ref="AF3:AS3"/>
    <mergeCell ref="R4:X4"/>
    <mergeCell ref="C5:E5"/>
    <mergeCell ref="K4:Q4"/>
    <mergeCell ref="C4:E4"/>
    <mergeCell ref="R5:X5"/>
    <mergeCell ref="K5:Q5"/>
    <mergeCell ref="A86:F86"/>
    <mergeCell ref="BO4:BU4"/>
  </mergeCells>
  <phoneticPr fontId="3" type="noConversion"/>
  <conditionalFormatting sqref="H8:H80">
    <cfRule type="dataBar" priority="10">
      <dataBar>
        <cfvo type="num" val="0"/>
        <cfvo type="num" val="1"/>
        <color theme="0" tint="-0.249977111117893"/>
      </dataBar>
      <extLst>
        <ext xmlns:x14="http://schemas.microsoft.com/office/spreadsheetml/2009/9/main" uri="{B025F937-C7B1-47D3-B67F-A62EFF666E3E}">
          <x14:id>{0A58A75E-4698-465A-8593-F06B91A3A900}</x14:id>
        </ext>
      </extLst>
    </cfRule>
  </conditionalFormatting>
  <conditionalFormatting sqref="K6:BM7 BO6:BT7">
    <cfRule type="expression" dxfId="3" priority="47">
      <formula>K$6=TODAY()</formula>
    </cfRule>
  </conditionalFormatting>
  <conditionalFormatting sqref="K6:BU80">
    <cfRule type="expression" dxfId="2" priority="4">
      <formula>K$6=TODAY()</formula>
    </cfRule>
  </conditionalFormatting>
  <conditionalFormatting sqref="K8:BU80">
    <cfRule type="expression" dxfId="1" priority="50">
      <formula>AND($E8&lt;=K$6,ROUNDDOWN(($F8-$E8+1)*$H8,0)+$E8-1&gt;=K$6)</formula>
    </cfRule>
    <cfRule type="expression" dxfId="0" priority="51">
      <formula>AND(NOT(ISBLANK($E8)),$E8&lt;=K$6,$F8&gt;=K$6)</formula>
    </cfRule>
  </conditionalFormatting>
  <dataValidations count="1">
    <dataValidation allowBlank="1" showInputMessage="1" showErrorMessage="1" promptTitle="Display Week" prompt="Enter the week number to display first in the Gantt Chart. The weeks are numbered starting from the week containing the Start Date." sqref="I4" xr:uid="{00000000-0002-0000-0000-000000000000}"/>
  </dataValidations>
  <pageMargins left="0.25" right="0.25" top="0.5" bottom="0.5" header="0.5" footer="0.25"/>
  <pageSetup scale="61" fitToHeight="0" orientation="landscape" r:id="rId1"/>
  <headerFooter alignWithMargins="0"/>
  <ignoredErrors>
    <ignoredError sqref="B36 B37:B39 F16 F26 F35 I17 I14 I13 I11 I12 I10 H36:I39 H27:I30 H21:I22 H16:I16 H26:I26 H35:I35" unlockedFormula="1"/>
    <ignoredError sqref="A35 A26 A16"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10</xdr:col>
                    <xdr:colOff>9525</xdr:colOff>
                    <xdr:row>1</xdr:row>
                    <xdr:rowOff>38100</xdr:rowOff>
                  </from>
                  <to>
                    <xdr:col>28</xdr:col>
                    <xdr:colOff>95250</xdr:colOff>
                    <xdr:row>1</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H8:H80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D93"/>
  <sheetViews>
    <sheetView showGridLines="0" topLeftCell="A11" workbookViewId="0">
      <selection activeCell="C37" sqref="C37"/>
    </sheetView>
  </sheetViews>
  <sheetFormatPr defaultColWidth="8.85546875" defaultRowHeight="12.75" x14ac:dyDescent="0.2"/>
  <cols>
    <col min="1" max="1" width="5.5703125" style="1" customWidth="1"/>
    <col min="2" max="2" width="90.42578125" style="1" customWidth="1"/>
    <col min="3" max="3" width="16.42578125" style="1" bestFit="1" customWidth="1"/>
    <col min="4" max="16384" width="8.85546875" style="1"/>
  </cols>
  <sheetData>
    <row r="1" spans="1:4" ht="30" customHeight="1" x14ac:dyDescent="0.2">
      <c r="A1" s="16" t="s">
        <v>43</v>
      </c>
      <c r="B1" s="17"/>
    </row>
    <row r="2" spans="1:4" ht="14.25" x14ac:dyDescent="0.2">
      <c r="A2" s="104" t="s">
        <v>21</v>
      </c>
      <c r="B2" s="2"/>
    </row>
    <row r="3" spans="1:4" x14ac:dyDescent="0.2">
      <c r="B3" s="2"/>
    </row>
    <row r="4" spans="1:4" ht="18" x14ac:dyDescent="0.25">
      <c r="A4" s="105" t="s">
        <v>44</v>
      </c>
      <c r="B4" s="15"/>
    </row>
    <row r="5" spans="1:4" ht="57" x14ac:dyDescent="0.2">
      <c r="B5" s="106" t="s">
        <v>45</v>
      </c>
    </row>
    <row r="7" spans="1:4" ht="28.5" x14ac:dyDescent="0.2">
      <c r="B7" s="106" t="s">
        <v>20</v>
      </c>
    </row>
    <row r="9" spans="1:4" ht="14.25" x14ac:dyDescent="0.2">
      <c r="B9" s="104" t="s">
        <v>32</v>
      </c>
    </row>
    <row r="11" spans="1:4" ht="28.5" x14ac:dyDescent="0.2">
      <c r="B11" s="107" t="s">
        <v>33</v>
      </c>
    </row>
    <row r="13" spans="1:4" ht="18" x14ac:dyDescent="0.25">
      <c r="A13" s="175" t="s">
        <v>2</v>
      </c>
      <c r="B13" s="175"/>
    </row>
    <row r="15" spans="1:4" ht="18" x14ac:dyDescent="0.2">
      <c r="A15" s="108"/>
      <c r="B15" s="109" t="s">
        <v>46</v>
      </c>
      <c r="C15" s="110"/>
      <c r="D15" s="110"/>
    </row>
    <row r="16" spans="1:4" ht="18" x14ac:dyDescent="0.2">
      <c r="A16" s="108"/>
      <c r="B16" s="109" t="s">
        <v>47</v>
      </c>
      <c r="C16" s="110"/>
      <c r="D16" s="110"/>
    </row>
    <row r="17" spans="1:2" ht="18" x14ac:dyDescent="0.25">
      <c r="A17" s="111"/>
      <c r="B17" s="109" t="s">
        <v>48</v>
      </c>
    </row>
    <row r="18" spans="1:2" ht="18" x14ac:dyDescent="0.25">
      <c r="A18" s="111"/>
      <c r="B18" s="109" t="s">
        <v>49</v>
      </c>
    </row>
    <row r="19" spans="1:2" ht="28.5" x14ac:dyDescent="0.25">
      <c r="A19" s="111"/>
      <c r="B19" s="109" t="s">
        <v>95</v>
      </c>
    </row>
    <row r="20" spans="1:2" ht="18" x14ac:dyDescent="0.25">
      <c r="A20" s="111"/>
      <c r="B20" s="109" t="s">
        <v>50</v>
      </c>
    </row>
    <row r="21" spans="1:2" ht="18" x14ac:dyDescent="0.25">
      <c r="A21" s="111"/>
      <c r="B21" s="112" t="s">
        <v>51</v>
      </c>
    </row>
    <row r="22" spans="1:2" ht="18" x14ac:dyDescent="0.25">
      <c r="A22" s="111"/>
      <c r="B22" s="3"/>
    </row>
    <row r="23" spans="1:2" ht="18" x14ac:dyDescent="0.25">
      <c r="A23" s="175" t="s">
        <v>52</v>
      </c>
      <c r="B23" s="175"/>
    </row>
    <row r="24" spans="1:2" ht="43.5" x14ac:dyDescent="0.25">
      <c r="A24" s="111"/>
      <c r="B24" s="109" t="s">
        <v>53</v>
      </c>
    </row>
    <row r="25" spans="1:2" ht="18" x14ac:dyDescent="0.25">
      <c r="A25" s="111"/>
      <c r="B25" s="109"/>
    </row>
    <row r="26" spans="1:2" ht="18" x14ac:dyDescent="0.25">
      <c r="A26" s="111"/>
      <c r="B26" s="113" t="s">
        <v>54</v>
      </c>
    </row>
    <row r="27" spans="1:2" ht="18" x14ac:dyDescent="0.25">
      <c r="A27" s="111"/>
      <c r="B27" s="109" t="s">
        <v>55</v>
      </c>
    </row>
    <row r="28" spans="1:2" ht="28.5" x14ac:dyDescent="0.25">
      <c r="A28" s="111"/>
      <c r="B28" s="109" t="s">
        <v>56</v>
      </c>
    </row>
    <row r="29" spans="1:2" ht="18" x14ac:dyDescent="0.25">
      <c r="A29" s="111"/>
      <c r="B29" s="109"/>
    </row>
    <row r="30" spans="1:2" ht="18" x14ac:dyDescent="0.25">
      <c r="A30" s="111"/>
      <c r="B30" s="113" t="s">
        <v>57</v>
      </c>
    </row>
    <row r="31" spans="1:2" ht="18" x14ac:dyDescent="0.25">
      <c r="A31" s="111"/>
      <c r="B31" s="109" t="s">
        <v>58</v>
      </c>
    </row>
    <row r="32" spans="1:2" ht="18" x14ac:dyDescent="0.25">
      <c r="A32" s="111"/>
      <c r="B32" s="109" t="s">
        <v>59</v>
      </c>
    </row>
    <row r="33" spans="1:2" ht="18" x14ac:dyDescent="0.25">
      <c r="A33" s="111"/>
      <c r="B33" s="3"/>
    </row>
    <row r="34" spans="1:2" ht="28.5" x14ac:dyDescent="0.25">
      <c r="A34" s="111"/>
      <c r="B34" s="109" t="s">
        <v>60</v>
      </c>
    </row>
    <row r="35" spans="1:2" ht="18" x14ac:dyDescent="0.25">
      <c r="A35" s="111"/>
      <c r="B35" s="114" t="s">
        <v>61</v>
      </c>
    </row>
    <row r="36" spans="1:2" ht="18" x14ac:dyDescent="0.25">
      <c r="A36" s="111"/>
      <c r="B36" s="3"/>
    </row>
    <row r="37" spans="1:2" ht="18" x14ac:dyDescent="0.25">
      <c r="A37" s="175" t="s">
        <v>8</v>
      </c>
      <c r="B37" s="175"/>
    </row>
    <row r="38" spans="1:2" ht="28.5" x14ac:dyDescent="0.2">
      <c r="B38" s="109" t="s">
        <v>62</v>
      </c>
    </row>
    <row r="40" spans="1:2" ht="14.25" x14ac:dyDescent="0.2">
      <c r="B40" s="109" t="s">
        <v>63</v>
      </c>
    </row>
    <row r="42" spans="1:2" ht="28.5" x14ac:dyDescent="0.2">
      <c r="B42" s="109" t="s">
        <v>64</v>
      </c>
    </row>
    <row r="44" spans="1:2" ht="28.5" x14ac:dyDescent="0.2">
      <c r="B44" s="109" t="s">
        <v>65</v>
      </c>
    </row>
    <row r="45" spans="1:2" x14ac:dyDescent="0.2">
      <c r="B45" s="10"/>
    </row>
    <row r="46" spans="1:2" ht="28.5" x14ac:dyDescent="0.2">
      <c r="B46" s="109" t="s">
        <v>66</v>
      </c>
    </row>
    <row r="48" spans="1:2" ht="18" x14ac:dyDescent="0.25">
      <c r="A48" s="175" t="s">
        <v>5</v>
      </c>
      <c r="B48" s="175"/>
    </row>
    <row r="49" spans="1:2" ht="28.5" x14ac:dyDescent="0.2">
      <c r="B49" s="109" t="s">
        <v>67</v>
      </c>
    </row>
    <row r="51" spans="1:2" ht="14.25" x14ac:dyDescent="0.2">
      <c r="A51" s="115" t="s">
        <v>9</v>
      </c>
      <c r="B51" s="109" t="s">
        <v>10</v>
      </c>
    </row>
    <row r="52" spans="1:2" ht="14.25" x14ac:dyDescent="0.2">
      <c r="A52" s="115" t="s">
        <v>11</v>
      </c>
      <c r="B52" s="109" t="s">
        <v>12</v>
      </c>
    </row>
    <row r="53" spans="1:2" ht="14.25" x14ac:dyDescent="0.2">
      <c r="A53" s="115" t="s">
        <v>13</v>
      </c>
      <c r="B53" s="109" t="s">
        <v>14</v>
      </c>
    </row>
    <row r="54" spans="1:2" ht="28.5" x14ac:dyDescent="0.2">
      <c r="A54" s="107"/>
      <c r="B54" s="109" t="s">
        <v>68</v>
      </c>
    </row>
    <row r="55" spans="1:2" ht="28.5" x14ac:dyDescent="0.2">
      <c r="A55" s="107"/>
      <c r="B55" s="109" t="s">
        <v>69</v>
      </c>
    </row>
    <row r="56" spans="1:2" ht="14.25" x14ac:dyDescent="0.2">
      <c r="A56" s="115" t="s">
        <v>15</v>
      </c>
      <c r="B56" s="109" t="s">
        <v>16</v>
      </c>
    </row>
    <row r="57" spans="1:2" ht="14.25" x14ac:dyDescent="0.2">
      <c r="A57" s="107"/>
      <c r="B57" s="109" t="s">
        <v>70</v>
      </c>
    </row>
    <row r="58" spans="1:2" ht="14.25" x14ac:dyDescent="0.2">
      <c r="A58" s="107"/>
      <c r="B58" s="109" t="s">
        <v>71</v>
      </c>
    </row>
    <row r="59" spans="1:2" ht="14.25" x14ac:dyDescent="0.2">
      <c r="A59" s="115" t="s">
        <v>17</v>
      </c>
      <c r="B59" s="109" t="s">
        <v>18</v>
      </c>
    </row>
    <row r="60" spans="1:2" ht="28.5" x14ac:dyDescent="0.2">
      <c r="A60" s="107"/>
      <c r="B60" s="109" t="s">
        <v>72</v>
      </c>
    </row>
    <row r="61" spans="1:2" ht="14.25" x14ac:dyDescent="0.2">
      <c r="A61" s="115" t="s">
        <v>73</v>
      </c>
      <c r="B61" s="109" t="s">
        <v>74</v>
      </c>
    </row>
    <row r="62" spans="1:2" ht="14.25" x14ac:dyDescent="0.2">
      <c r="A62" s="116"/>
      <c r="B62" s="109" t="s">
        <v>75</v>
      </c>
    </row>
    <row r="63" spans="1:2" x14ac:dyDescent="0.2">
      <c r="B63" s="4"/>
    </row>
    <row r="64" spans="1:2" ht="18" x14ac:dyDescent="0.25">
      <c r="A64" s="175" t="s">
        <v>7</v>
      </c>
      <c r="B64" s="175"/>
    </row>
    <row r="65" spans="1:2" ht="42.75" x14ac:dyDescent="0.2">
      <c r="B65" s="109" t="s">
        <v>76</v>
      </c>
    </row>
    <row r="67" spans="1:2" ht="18" x14ac:dyDescent="0.25">
      <c r="A67" s="175" t="s">
        <v>3</v>
      </c>
      <c r="B67" s="175"/>
    </row>
    <row r="68" spans="1:2" ht="15" x14ac:dyDescent="0.25">
      <c r="A68" s="117" t="s">
        <v>4</v>
      </c>
      <c r="B68" s="118" t="s">
        <v>77</v>
      </c>
    </row>
    <row r="69" spans="1:2" ht="28.5" x14ac:dyDescent="0.2">
      <c r="A69" s="116"/>
      <c r="B69" s="119" t="s">
        <v>78</v>
      </c>
    </row>
    <row r="70" spans="1:2" ht="14.25" x14ac:dyDescent="0.2">
      <c r="A70" s="116"/>
      <c r="B70" s="120"/>
    </row>
    <row r="71" spans="1:2" ht="15" x14ac:dyDescent="0.25">
      <c r="A71" s="117" t="s">
        <v>4</v>
      </c>
      <c r="B71" s="118" t="s">
        <v>79</v>
      </c>
    </row>
    <row r="72" spans="1:2" ht="28.5" x14ac:dyDescent="0.2">
      <c r="A72" s="116"/>
      <c r="B72" s="119" t="s">
        <v>80</v>
      </c>
    </row>
    <row r="73" spans="1:2" ht="14.25" x14ac:dyDescent="0.2">
      <c r="A73" s="116"/>
      <c r="B73" s="120"/>
    </row>
    <row r="74" spans="1:2" ht="15" x14ac:dyDescent="0.25">
      <c r="A74" s="117" t="s">
        <v>4</v>
      </c>
      <c r="B74" s="121" t="s">
        <v>81</v>
      </c>
    </row>
    <row r="75" spans="1:2" ht="42.75" x14ac:dyDescent="0.2">
      <c r="A75" s="116"/>
      <c r="B75" s="106" t="s">
        <v>82</v>
      </c>
    </row>
    <row r="76" spans="1:2" ht="14.25" x14ac:dyDescent="0.2">
      <c r="A76" s="116"/>
      <c r="B76" s="116"/>
    </row>
    <row r="77" spans="1:2" ht="15" x14ac:dyDescent="0.25">
      <c r="A77" s="117" t="s">
        <v>4</v>
      </c>
      <c r="B77" s="121" t="s">
        <v>83</v>
      </c>
    </row>
    <row r="78" spans="1:2" ht="28.5" x14ac:dyDescent="0.2">
      <c r="A78" s="116"/>
      <c r="B78" s="106" t="s">
        <v>84</v>
      </c>
    </row>
    <row r="79" spans="1:2" ht="14.25" x14ac:dyDescent="0.2">
      <c r="A79" s="116"/>
      <c r="B79" s="116"/>
    </row>
    <row r="80" spans="1:2" ht="15" x14ac:dyDescent="0.25">
      <c r="A80" s="117" t="s">
        <v>4</v>
      </c>
      <c r="B80" s="121" t="s">
        <v>85</v>
      </c>
    </row>
    <row r="81" spans="1:2" ht="14.25" x14ac:dyDescent="0.2">
      <c r="A81" s="116"/>
      <c r="B81" s="122" t="s">
        <v>86</v>
      </c>
    </row>
    <row r="82" spans="1:2" ht="14.25" x14ac:dyDescent="0.2">
      <c r="A82" s="116"/>
      <c r="B82" s="122" t="s">
        <v>87</v>
      </c>
    </row>
    <row r="83" spans="1:2" ht="14.25" x14ac:dyDescent="0.2">
      <c r="A83" s="116"/>
      <c r="B83" s="122" t="s">
        <v>88</v>
      </c>
    </row>
    <row r="84" spans="1:2" ht="15" x14ac:dyDescent="0.25">
      <c r="A84" s="116"/>
      <c r="B84" s="123"/>
    </row>
    <row r="85" spans="1:2" ht="15" x14ac:dyDescent="0.25">
      <c r="A85" s="117" t="s">
        <v>4</v>
      </c>
      <c r="B85" s="121" t="s">
        <v>89</v>
      </c>
    </row>
    <row r="86" spans="1:2" ht="42.75" x14ac:dyDescent="0.2">
      <c r="A86" s="116"/>
      <c r="B86" s="106" t="s">
        <v>90</v>
      </c>
    </row>
    <row r="87" spans="1:2" ht="14.25" x14ac:dyDescent="0.2">
      <c r="A87" s="116"/>
      <c r="B87" s="124" t="s">
        <v>91</v>
      </c>
    </row>
    <row r="88" spans="1:2" ht="57" x14ac:dyDescent="0.2">
      <c r="A88" s="116"/>
      <c r="B88" s="125" t="s">
        <v>92</v>
      </c>
    </row>
    <row r="89" spans="1:2" ht="14.25" x14ac:dyDescent="0.2">
      <c r="A89" s="116"/>
      <c r="B89" s="116"/>
    </row>
    <row r="90" spans="1:2" ht="15" x14ac:dyDescent="0.25">
      <c r="A90" s="117" t="s">
        <v>4</v>
      </c>
      <c r="B90" s="121" t="s">
        <v>93</v>
      </c>
    </row>
    <row r="91" spans="1:2" ht="28.5" x14ac:dyDescent="0.2">
      <c r="A91" s="107"/>
      <c r="B91" s="122" t="s">
        <v>19</v>
      </c>
    </row>
    <row r="93" spans="1:2" x14ac:dyDescent="0.2">
      <c r="A93" s="11" t="s">
        <v>25</v>
      </c>
    </row>
  </sheetData>
  <mergeCells count="6">
    <mergeCell ref="A67:B67"/>
    <mergeCell ref="A23:B23"/>
    <mergeCell ref="A13:B13"/>
    <mergeCell ref="A37:B37"/>
    <mergeCell ref="A48:B48"/>
    <mergeCell ref="A64:B64"/>
  </mergeCells>
  <phoneticPr fontId="3" type="noConversion"/>
  <hyperlinks>
    <hyperlink ref="B9" r:id="rId1" xr:uid="{00000000-0004-0000-0100-000000000000}"/>
    <hyperlink ref="A2" r:id="rId2" xr:uid="{00000000-0004-0000-0100-000001000000}"/>
    <hyperlink ref="B35" r:id="rId3" xr:uid="{00000000-0004-0000-0100-000002000000}"/>
  </hyperlinks>
  <pageMargins left="0.5" right="0.5" top="0.25" bottom="0.25" header="0.5" footer="0.5"/>
  <pageSetup orientation="portrait"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9"/>
  <sheetViews>
    <sheetView showGridLines="0" workbookViewId="0">
      <selection activeCell="A2" sqref="A2"/>
    </sheetView>
  </sheetViews>
  <sheetFormatPr defaultColWidth="8.85546875" defaultRowHeight="12.75" x14ac:dyDescent="0.2"/>
  <cols>
    <col min="1" max="1" width="5.5703125" style="1" customWidth="1"/>
    <col min="2" max="2" width="82.140625" style="1" customWidth="1"/>
  </cols>
  <sheetData>
    <row r="1" spans="1:3" ht="30" customHeight="1" x14ac:dyDescent="0.2">
      <c r="A1" s="16" t="s">
        <v>23</v>
      </c>
      <c r="B1" s="16"/>
    </row>
    <row r="2" spans="1:3" ht="15" x14ac:dyDescent="0.2">
      <c r="B2" s="20"/>
    </row>
    <row r="3" spans="1:3" ht="15" x14ac:dyDescent="0.2">
      <c r="A3" s="18"/>
      <c r="B3" s="12" t="s">
        <v>24</v>
      </c>
      <c r="C3" s="19"/>
    </row>
    <row r="4" spans="1:3" ht="14.25" x14ac:dyDescent="0.2">
      <c r="A4" s="5"/>
      <c r="B4" s="14" t="s">
        <v>21</v>
      </c>
      <c r="C4" s="6"/>
    </row>
    <row r="5" spans="1:3" ht="15" x14ac:dyDescent="0.2">
      <c r="A5" s="5"/>
      <c r="B5" s="7"/>
      <c r="C5" s="6"/>
    </row>
    <row r="6" spans="1:3" ht="15.75" x14ac:dyDescent="0.25">
      <c r="A6" s="5"/>
      <c r="B6" s="8" t="s">
        <v>25</v>
      </c>
      <c r="C6" s="6"/>
    </row>
    <row r="7" spans="1:3" ht="15" x14ac:dyDescent="0.2">
      <c r="A7" s="5"/>
      <c r="B7" s="7"/>
      <c r="C7" s="6"/>
    </row>
    <row r="8" spans="1:3" ht="30" x14ac:dyDescent="0.2">
      <c r="A8" s="5"/>
      <c r="B8" s="7" t="s">
        <v>26</v>
      </c>
      <c r="C8" s="6"/>
    </row>
    <row r="9" spans="1:3" ht="15" x14ac:dyDescent="0.2">
      <c r="A9" s="5"/>
      <c r="B9" s="7"/>
      <c r="C9" s="6"/>
    </row>
    <row r="10" spans="1:3" ht="46.5" x14ac:dyDescent="0.25">
      <c r="A10" s="5"/>
      <c r="B10" s="7" t="s">
        <v>27</v>
      </c>
      <c r="C10" s="6"/>
    </row>
    <row r="11" spans="1:3" ht="15" x14ac:dyDescent="0.2">
      <c r="A11" s="5"/>
      <c r="B11" s="7"/>
      <c r="C11" s="6"/>
    </row>
    <row r="12" spans="1:3" ht="45" x14ac:dyDescent="0.2">
      <c r="A12" s="5"/>
      <c r="B12" s="7" t="s">
        <v>28</v>
      </c>
      <c r="C12" s="6"/>
    </row>
    <row r="13" spans="1:3" ht="15" x14ac:dyDescent="0.2">
      <c r="A13" s="5"/>
      <c r="B13" s="7"/>
      <c r="C13" s="6"/>
    </row>
    <row r="14" spans="1:3" ht="60" x14ac:dyDescent="0.2">
      <c r="A14" s="5"/>
      <c r="B14" s="7" t="s">
        <v>29</v>
      </c>
      <c r="C14" s="6"/>
    </row>
    <row r="15" spans="1:3" ht="15" x14ac:dyDescent="0.2">
      <c r="A15" s="5"/>
      <c r="B15" s="7"/>
      <c r="C15" s="6"/>
    </row>
    <row r="16" spans="1:3" ht="30.75" x14ac:dyDescent="0.2">
      <c r="A16" s="5"/>
      <c r="B16" s="7" t="s">
        <v>30</v>
      </c>
      <c r="C16" s="6"/>
    </row>
    <row r="17" spans="1:3" ht="15" x14ac:dyDescent="0.2">
      <c r="A17" s="5"/>
      <c r="B17" s="7"/>
      <c r="C17" s="6"/>
    </row>
    <row r="18" spans="1:3" ht="15.75" x14ac:dyDescent="0.25">
      <c r="A18" s="5"/>
      <c r="B18" s="8" t="s">
        <v>31</v>
      </c>
      <c r="C18" s="6"/>
    </row>
    <row r="19" spans="1:3" ht="15" x14ac:dyDescent="0.2">
      <c r="A19" s="5"/>
      <c r="B19" s="13" t="s">
        <v>22</v>
      </c>
      <c r="C19" s="6"/>
    </row>
    <row r="20" spans="1:3" ht="15" x14ac:dyDescent="0.2">
      <c r="A20" s="5"/>
      <c r="B20" s="9"/>
      <c r="C20" s="6"/>
    </row>
    <row r="21" spans="1:3" x14ac:dyDescent="0.2">
      <c r="A21" s="5"/>
      <c r="B21" s="5"/>
      <c r="C21" s="6"/>
    </row>
    <row r="22" spans="1:3" x14ac:dyDescent="0.2">
      <c r="A22" s="5"/>
      <c r="B22" s="5"/>
      <c r="C22" s="6"/>
    </row>
    <row r="23" spans="1:3" x14ac:dyDescent="0.2">
      <c r="A23" s="5"/>
      <c r="B23" s="5"/>
      <c r="C23" s="6"/>
    </row>
    <row r="24" spans="1:3" x14ac:dyDescent="0.2">
      <c r="A24" s="5"/>
      <c r="B24" s="5"/>
      <c r="C24" s="6"/>
    </row>
    <row r="25" spans="1:3" x14ac:dyDescent="0.2">
      <c r="A25" s="5"/>
      <c r="B25" s="5"/>
      <c r="C25" s="6"/>
    </row>
    <row r="26" spans="1:3" x14ac:dyDescent="0.2">
      <c r="A26" s="5"/>
      <c r="B26" s="5"/>
      <c r="C26" s="6"/>
    </row>
    <row r="27" spans="1:3" x14ac:dyDescent="0.2">
      <c r="A27" s="5"/>
      <c r="B27" s="5"/>
      <c r="C27" s="6"/>
    </row>
    <row r="28" spans="1:3" x14ac:dyDescent="0.2">
      <c r="A28" s="5"/>
      <c r="B28" s="5"/>
      <c r="C28" s="6"/>
    </row>
    <row r="29" spans="1:3" x14ac:dyDescent="0.2">
      <c r="A29" s="5"/>
      <c r="B29" s="5"/>
      <c r="C29" s="6"/>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GanttChart</vt:lpstr>
      <vt:lpstr>Help</vt:lpstr>
      <vt:lpstr>TermsOfUse</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Jared Bansch</cp:lastModifiedBy>
  <cp:lastPrinted>2018-02-09T22:40:51Z</cp:lastPrinted>
  <dcterms:created xsi:type="dcterms:W3CDTF">2010-06-09T16:05:03Z</dcterms:created>
  <dcterms:modified xsi:type="dcterms:W3CDTF">2026-04-07T19:00:04Z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